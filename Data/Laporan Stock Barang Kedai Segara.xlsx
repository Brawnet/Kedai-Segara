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showInkAnnotation="0" defaultThemeVersion="202300"/>
  <xr:revisionPtr revIDLastSave="0" documentId="8_{0DB2419E-9C51-6747-A150-3B95D4E583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kap Stock Barang" sheetId="1" r:id="rId1"/>
    <sheet name="Barang Masuk " sheetId="2" r:id="rId2"/>
    <sheet name="Barang keluar" sheetId="3" r:id="rId3"/>
  </sheets>
  <definedNames>
    <definedName name="_xlnm._FilterDatabase" localSheetId="1" hidden="1">'Barang Masuk '!$A$4:$D$510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54" i="3" l="1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266" i="3"/>
  <c r="C1267" i="3"/>
  <c r="C126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69" i="2"/>
  <c r="C6" i="2"/>
  <c r="C7" i="2"/>
  <c r="C8" i="2"/>
  <c r="C9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E24" i="1"/>
  <c r="C6" i="3"/>
  <c r="C7" i="3"/>
  <c r="C8" i="3"/>
  <c r="C9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271" i="3"/>
  <c r="C1270" i="3"/>
  <c r="C1269" i="3"/>
  <c r="C1268" i="3"/>
  <c r="C1265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F24" i="1"/>
  <c r="G24" i="1"/>
  <c r="E39" i="1"/>
  <c r="F39" i="1"/>
  <c r="G39" i="1"/>
  <c r="E40" i="1"/>
  <c r="E42" i="1"/>
  <c r="F42" i="1"/>
  <c r="G42" i="1"/>
  <c r="E21" i="1"/>
  <c r="F21" i="1"/>
  <c r="G21" i="1"/>
  <c r="E126" i="1"/>
  <c r="F126" i="1"/>
  <c r="G126" i="1"/>
  <c r="E125" i="1"/>
  <c r="F125" i="1"/>
  <c r="G125" i="1"/>
  <c r="E124" i="1"/>
  <c r="F124" i="1"/>
  <c r="G124" i="1"/>
  <c r="E134" i="1"/>
  <c r="F134" i="1"/>
  <c r="G134" i="1"/>
  <c r="E120" i="1"/>
  <c r="F120" i="1"/>
  <c r="G120" i="1"/>
  <c r="E102" i="1"/>
  <c r="F102" i="1"/>
  <c r="G102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86" i="1"/>
  <c r="F86" i="1"/>
  <c r="G86" i="1"/>
  <c r="E87" i="1"/>
  <c r="F87" i="1"/>
  <c r="G87" i="1"/>
  <c r="E88" i="1"/>
  <c r="F88" i="1"/>
  <c r="G88" i="1"/>
  <c r="E89" i="1"/>
  <c r="F89" i="1"/>
  <c r="G89" i="1"/>
  <c r="E33" i="1"/>
  <c r="F33" i="1"/>
  <c r="G33" i="1"/>
  <c r="E34" i="1"/>
  <c r="F34" i="1"/>
  <c r="G34" i="1"/>
  <c r="E78" i="1"/>
  <c r="F78" i="1"/>
  <c r="G78" i="1"/>
  <c r="E79" i="1"/>
  <c r="F79" i="1"/>
  <c r="G79" i="1"/>
  <c r="E80" i="1"/>
  <c r="F80" i="1"/>
  <c r="G80" i="1"/>
  <c r="E57" i="1"/>
  <c r="F57" i="1"/>
  <c r="G57" i="1"/>
  <c r="E49" i="1"/>
  <c r="F49" i="1"/>
  <c r="G49" i="1"/>
  <c r="E50" i="1"/>
  <c r="F50" i="1"/>
  <c r="G50" i="1"/>
  <c r="E51" i="1"/>
  <c r="F51" i="1"/>
  <c r="G51" i="1"/>
  <c r="E48" i="1"/>
  <c r="F48" i="1"/>
  <c r="G48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2" i="1"/>
  <c r="F22" i="1"/>
  <c r="G22" i="1"/>
  <c r="E23" i="1"/>
  <c r="F23" i="1"/>
  <c r="G23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6" i="1"/>
  <c r="F36" i="1"/>
  <c r="G36" i="1"/>
  <c r="E81" i="1"/>
  <c r="F81" i="1"/>
  <c r="G81" i="1"/>
  <c r="E82" i="1"/>
  <c r="F82" i="1"/>
  <c r="G82" i="1"/>
  <c r="F40" i="1"/>
  <c r="G40" i="1"/>
  <c r="E71" i="1"/>
  <c r="F71" i="1"/>
  <c r="G71" i="1"/>
  <c r="E72" i="1"/>
  <c r="F72" i="1"/>
  <c r="G72" i="1"/>
  <c r="E77" i="1"/>
  <c r="F77" i="1"/>
  <c r="G77" i="1"/>
  <c r="E73" i="1"/>
  <c r="F73" i="1"/>
  <c r="G73" i="1"/>
  <c r="E74" i="1"/>
  <c r="F74" i="1"/>
  <c r="G74" i="1"/>
  <c r="E75" i="1"/>
  <c r="F75" i="1"/>
  <c r="G75" i="1"/>
  <c r="E76" i="1"/>
  <c r="F76" i="1"/>
  <c r="G76" i="1"/>
  <c r="F90" i="1"/>
  <c r="E104" i="1"/>
  <c r="F104" i="1"/>
  <c r="G104" i="1"/>
  <c r="E44" i="1"/>
  <c r="E47" i="1"/>
  <c r="F47" i="1"/>
  <c r="G47" i="1"/>
  <c r="F45" i="1"/>
  <c r="E132" i="1"/>
  <c r="F132" i="1"/>
  <c r="G132" i="1"/>
  <c r="F115" i="1"/>
  <c r="F116" i="1"/>
  <c r="F117" i="1"/>
  <c r="F118" i="1"/>
  <c r="F135" i="1"/>
  <c r="F133" i="1"/>
  <c r="F130" i="1"/>
  <c r="F122" i="1"/>
  <c r="F123" i="1"/>
  <c r="F129" i="1"/>
  <c r="F131" i="1"/>
  <c r="F127" i="1"/>
  <c r="F128" i="1"/>
  <c r="F119" i="1"/>
  <c r="F121" i="1"/>
  <c r="F136" i="1"/>
  <c r="F137" i="1"/>
  <c r="F138" i="1"/>
  <c r="F114" i="1"/>
  <c r="F100" i="1"/>
  <c r="F101" i="1"/>
  <c r="F103" i="1"/>
  <c r="F105" i="1"/>
  <c r="F106" i="1"/>
  <c r="F107" i="1"/>
  <c r="F108" i="1"/>
  <c r="F109" i="1"/>
  <c r="F110" i="1"/>
  <c r="F111" i="1"/>
  <c r="F99" i="1"/>
  <c r="F85" i="1"/>
  <c r="F54" i="1"/>
  <c r="F61" i="1"/>
  <c r="F62" i="1"/>
  <c r="F63" i="1"/>
  <c r="F64" i="1"/>
  <c r="F58" i="1"/>
  <c r="F65" i="1"/>
  <c r="F66" i="1"/>
  <c r="F68" i="1"/>
  <c r="F56" i="1"/>
  <c r="F55" i="1"/>
  <c r="F59" i="1"/>
  <c r="F67" i="1"/>
  <c r="F60" i="1"/>
  <c r="F32" i="1"/>
  <c r="F35" i="1"/>
  <c r="F37" i="1"/>
  <c r="F38" i="1"/>
  <c r="F41" i="1"/>
  <c r="F43" i="1"/>
  <c r="F44" i="1"/>
  <c r="E60" i="1"/>
  <c r="E54" i="1"/>
  <c r="E61" i="1"/>
  <c r="E62" i="1"/>
  <c r="E63" i="1"/>
  <c r="E64" i="1"/>
  <c r="E58" i="1"/>
  <c r="E65" i="1"/>
  <c r="E66" i="1"/>
  <c r="E68" i="1"/>
  <c r="E56" i="1"/>
  <c r="E55" i="1"/>
  <c r="E59" i="1"/>
  <c r="E67" i="1"/>
  <c r="E85" i="1"/>
  <c r="E90" i="1"/>
  <c r="E99" i="1"/>
  <c r="E100" i="1"/>
  <c r="E101" i="1"/>
  <c r="E103" i="1"/>
  <c r="E105" i="1"/>
  <c r="E106" i="1"/>
  <c r="E107" i="1"/>
  <c r="E108" i="1"/>
  <c r="E109" i="1"/>
  <c r="E110" i="1"/>
  <c r="E111" i="1"/>
  <c r="E114" i="1"/>
  <c r="E115" i="1"/>
  <c r="E116" i="1"/>
  <c r="E117" i="1"/>
  <c r="E118" i="1"/>
  <c r="E135" i="1"/>
  <c r="E133" i="1"/>
  <c r="E130" i="1"/>
  <c r="E122" i="1"/>
  <c r="E123" i="1"/>
  <c r="E129" i="1"/>
  <c r="E131" i="1"/>
  <c r="E127" i="1"/>
  <c r="E128" i="1"/>
  <c r="E119" i="1"/>
  <c r="E121" i="1"/>
  <c r="E136" i="1"/>
  <c r="E137" i="1"/>
  <c r="E138" i="1"/>
  <c r="E32" i="1"/>
  <c r="E35" i="1"/>
  <c r="E37" i="1"/>
  <c r="E38" i="1"/>
  <c r="E41" i="1"/>
  <c r="E43" i="1"/>
  <c r="E45" i="1"/>
  <c r="G131" i="1"/>
  <c r="G127" i="1"/>
  <c r="G45" i="1"/>
  <c r="G41" i="1"/>
  <c r="G54" i="1"/>
  <c r="G138" i="1"/>
  <c r="G137" i="1"/>
  <c r="G136" i="1"/>
  <c r="G121" i="1"/>
  <c r="G119" i="1"/>
  <c r="G128" i="1"/>
  <c r="G129" i="1"/>
  <c r="G123" i="1"/>
  <c r="G122" i="1"/>
  <c r="G130" i="1"/>
  <c r="G133" i="1"/>
  <c r="G135" i="1"/>
  <c r="G118" i="1"/>
  <c r="G117" i="1"/>
  <c r="G116" i="1"/>
  <c r="G115" i="1"/>
  <c r="G114" i="1"/>
  <c r="G111" i="1"/>
  <c r="G110" i="1"/>
  <c r="G109" i="1"/>
  <c r="G108" i="1"/>
  <c r="G107" i="1"/>
  <c r="G106" i="1"/>
  <c r="G105" i="1"/>
  <c r="G103" i="1"/>
  <c r="G101" i="1"/>
  <c r="G100" i="1"/>
  <c r="G99" i="1"/>
  <c r="G90" i="1"/>
  <c r="G85" i="1"/>
  <c r="G67" i="1"/>
  <c r="G59" i="1"/>
  <c r="G55" i="1"/>
  <c r="G56" i="1"/>
  <c r="G61" i="1"/>
  <c r="G62" i="1"/>
  <c r="G63" i="1"/>
  <c r="G64" i="1"/>
  <c r="G58" i="1"/>
  <c r="G65" i="1"/>
  <c r="G66" i="1"/>
  <c r="G68" i="1"/>
  <c r="G60" i="1"/>
  <c r="G44" i="1"/>
  <c r="G43" i="1"/>
  <c r="G35" i="1"/>
  <c r="G37" i="1"/>
  <c r="G38" i="1"/>
  <c r="G32" i="1"/>
</calcChain>
</file>

<file path=xl/sharedStrings.xml><?xml version="1.0" encoding="utf-8"?>
<sst xmlns="http://schemas.openxmlformats.org/spreadsheetml/2006/main" count="1973" uniqueCount="341">
  <si>
    <t xml:space="preserve">CV. Dapur Rumah Rasa </t>
  </si>
  <si>
    <t xml:space="preserve">LAPORAN STOCK KEDAI SEGARA </t>
  </si>
  <si>
    <t>Kode Barang</t>
  </si>
  <si>
    <t>Nama Barang</t>
  </si>
  <si>
    <t xml:space="preserve">Stock Awal </t>
  </si>
  <si>
    <t xml:space="preserve">Stock Masuk </t>
  </si>
  <si>
    <t>Stock Keluar</t>
  </si>
  <si>
    <t>Periode:</t>
  </si>
  <si>
    <t>AS</t>
  </si>
  <si>
    <t>TK</t>
  </si>
  <si>
    <t>TM</t>
  </si>
  <si>
    <t xml:space="preserve">Ayam Suwir </t>
  </si>
  <si>
    <t xml:space="preserve">Topping Kwetiau </t>
  </si>
  <si>
    <t>Topping Mbakmoy</t>
  </si>
  <si>
    <t>AJ</t>
  </si>
  <si>
    <t>Ayam Jamur</t>
  </si>
  <si>
    <t>P</t>
  </si>
  <si>
    <t>Paha</t>
  </si>
  <si>
    <t>Dada</t>
  </si>
  <si>
    <t>D</t>
  </si>
  <si>
    <t>C</t>
  </si>
  <si>
    <t>Cumi</t>
  </si>
  <si>
    <t>K</t>
  </si>
  <si>
    <t>Kulit</t>
  </si>
  <si>
    <t>L</t>
  </si>
  <si>
    <t xml:space="preserve">Lidah </t>
  </si>
  <si>
    <t>TP</t>
  </si>
  <si>
    <t xml:space="preserve">Teri Pete </t>
  </si>
  <si>
    <t>TNG</t>
  </si>
  <si>
    <t xml:space="preserve">Topping Nasi Gila </t>
  </si>
  <si>
    <t>Bagor</t>
  </si>
  <si>
    <t>B</t>
  </si>
  <si>
    <t>BS</t>
  </si>
  <si>
    <t>Bumbu Segara</t>
  </si>
  <si>
    <t>BL</t>
  </si>
  <si>
    <t xml:space="preserve">Bumbu Lidah </t>
  </si>
  <si>
    <t>BK</t>
  </si>
  <si>
    <t>Bumbu Kwetiau</t>
  </si>
  <si>
    <t>DS</t>
  </si>
  <si>
    <t xml:space="preserve">Cireng </t>
  </si>
  <si>
    <t>Daging Sambal HIjau</t>
  </si>
  <si>
    <t>SB</t>
  </si>
  <si>
    <t>Sambal Baby Cumi</t>
  </si>
  <si>
    <t>Sambal Bawang</t>
  </si>
  <si>
    <t>ST</t>
  </si>
  <si>
    <t>Sambal Terong</t>
  </si>
  <si>
    <t>SP</t>
  </si>
  <si>
    <t>Sambal Petis</t>
  </si>
  <si>
    <t>BNG</t>
  </si>
  <si>
    <t xml:space="preserve">Bumbu Nasi Gila </t>
  </si>
  <si>
    <t>BT</t>
  </si>
  <si>
    <t xml:space="preserve">Bumbu Teri </t>
  </si>
  <si>
    <t>BMG</t>
  </si>
  <si>
    <t>Laporan Barang Masuk Segara</t>
  </si>
  <si>
    <t xml:space="preserve">Cv. Dapur Rumah Rasa </t>
  </si>
  <si>
    <t xml:space="preserve">Nama Barang </t>
  </si>
  <si>
    <t xml:space="preserve">Jumlah Barang Masuk </t>
  </si>
  <si>
    <t>Tanggal</t>
  </si>
  <si>
    <t>Keterangan</t>
  </si>
  <si>
    <t xml:space="preserve">Porsi </t>
  </si>
  <si>
    <t>Pack</t>
  </si>
  <si>
    <t xml:space="preserve">Jumlah Barang Keluar </t>
  </si>
  <si>
    <t>Laporan Barang Keluar Segara</t>
  </si>
  <si>
    <t>Stock Akhir</t>
  </si>
  <si>
    <t xml:space="preserve">Stock Barang Kering (Dairy + Plant Base Milk) </t>
  </si>
  <si>
    <t>UHT</t>
  </si>
  <si>
    <t>Diamond Milk</t>
  </si>
  <si>
    <t>Sun Cara 1L</t>
  </si>
  <si>
    <t>Sun Cara 200Ml</t>
  </si>
  <si>
    <t>Susu Kental Manis Carnation</t>
  </si>
  <si>
    <t>SKM</t>
  </si>
  <si>
    <t xml:space="preserve">Max Creamer </t>
  </si>
  <si>
    <t xml:space="preserve">Oatside Milk </t>
  </si>
  <si>
    <t>Milo</t>
  </si>
  <si>
    <t>Pcs</t>
  </si>
  <si>
    <t xml:space="preserve">Cashew Milk </t>
  </si>
  <si>
    <t xml:space="preserve">Keju </t>
  </si>
  <si>
    <t xml:space="preserve">Flavourful Drink  </t>
  </si>
  <si>
    <t>DHT</t>
  </si>
  <si>
    <t>Syrup Dht</t>
  </si>
  <si>
    <t>Jug</t>
  </si>
  <si>
    <t xml:space="preserve">Dripp Butterschotch </t>
  </si>
  <si>
    <t xml:space="preserve">Dripp Pandan </t>
  </si>
  <si>
    <t xml:space="preserve">Botol </t>
  </si>
  <si>
    <t>Dripp Lhychee</t>
  </si>
  <si>
    <t>Lhychee Kaleng</t>
  </si>
  <si>
    <t>Kaleng</t>
  </si>
  <si>
    <t>Ecolate Lemongrass</t>
  </si>
  <si>
    <t xml:space="preserve">Pack </t>
  </si>
  <si>
    <t>Ecolate Wintermelon Tea</t>
  </si>
  <si>
    <t>LT</t>
  </si>
  <si>
    <t>Lemon Tea</t>
  </si>
  <si>
    <t xml:space="preserve">Soda Polaris </t>
  </si>
  <si>
    <t xml:space="preserve">Zoda Water </t>
  </si>
  <si>
    <t>Apple Juice Diamond</t>
  </si>
  <si>
    <t>Kopi</t>
  </si>
  <si>
    <t xml:space="preserve">Bahan-Bahan Dasar + Kecap </t>
  </si>
  <si>
    <t xml:space="preserve">Gula </t>
  </si>
  <si>
    <t xml:space="preserve">Gula Halus </t>
  </si>
  <si>
    <t xml:space="preserve">Garam </t>
  </si>
  <si>
    <t>Knorr</t>
  </si>
  <si>
    <t xml:space="preserve">Bumbu Racik </t>
  </si>
  <si>
    <t>BR</t>
  </si>
  <si>
    <t>BG</t>
  </si>
  <si>
    <t xml:space="preserve">Bumbu Gule </t>
  </si>
  <si>
    <t>Terasi</t>
  </si>
  <si>
    <t>RR</t>
  </si>
  <si>
    <t>Raja Rasa</t>
  </si>
  <si>
    <t>Kecap Ikan Tipparos</t>
  </si>
  <si>
    <t>Kecap Maggi</t>
  </si>
  <si>
    <t>SS</t>
  </si>
  <si>
    <t xml:space="preserve">Saus Sambal </t>
  </si>
  <si>
    <t>Saus Tomat</t>
  </si>
  <si>
    <t xml:space="preserve">Bahan-Bahan Snack/ Dessert + Tepung  </t>
  </si>
  <si>
    <t xml:space="preserve">Tepung Beras Bola </t>
  </si>
  <si>
    <t xml:space="preserve">Tepung Ketan </t>
  </si>
  <si>
    <t xml:space="preserve">Tepung Maizena </t>
  </si>
  <si>
    <t xml:space="preserve">Tepung Tapioka </t>
  </si>
  <si>
    <t xml:space="preserve">Mie Urai </t>
  </si>
  <si>
    <t>TT</t>
  </si>
  <si>
    <t>Tepung Telur</t>
  </si>
  <si>
    <t xml:space="preserve">Nurtijel Plain </t>
  </si>
  <si>
    <t xml:space="preserve">Sagu Mutiara </t>
  </si>
  <si>
    <t>Nata Decoco</t>
  </si>
  <si>
    <t xml:space="preserve">Pewarna Hijau </t>
  </si>
  <si>
    <t>Pewarna Pink</t>
  </si>
  <si>
    <t>Btl</t>
  </si>
  <si>
    <t>V</t>
  </si>
  <si>
    <t>Vanilli</t>
  </si>
  <si>
    <t>Stock Cleaning Supplies + Utensils</t>
  </si>
  <si>
    <t>Ps.ukS</t>
  </si>
  <si>
    <t>Ps.ukM</t>
  </si>
  <si>
    <t>Ps.ukL</t>
  </si>
  <si>
    <t>Ps.ukXL</t>
  </si>
  <si>
    <t>Plastik Sampah S</t>
  </si>
  <si>
    <t>Plastik Sampah M</t>
  </si>
  <si>
    <t>Plastik Sampah L</t>
  </si>
  <si>
    <t>Plastik Sampah XL</t>
  </si>
  <si>
    <t>Lbr</t>
  </si>
  <si>
    <t>Thermal Paper</t>
  </si>
  <si>
    <t>Roll</t>
  </si>
  <si>
    <t>Cup Ice</t>
  </si>
  <si>
    <t>Cup Hot</t>
  </si>
  <si>
    <t>2in1</t>
  </si>
  <si>
    <t>2in1 Sendok</t>
  </si>
  <si>
    <t>Sbb</t>
  </si>
  <si>
    <t>Sendok Bebek</t>
  </si>
  <si>
    <t xml:space="preserve">Sedotan </t>
  </si>
  <si>
    <t>Tmeja</t>
  </si>
  <si>
    <t>Tissue Meja</t>
  </si>
  <si>
    <t>TWC</t>
  </si>
  <si>
    <t>Tissue Toilet</t>
  </si>
  <si>
    <t>Bm28</t>
  </si>
  <si>
    <t>Plastik Bima uk.28</t>
  </si>
  <si>
    <t>Bm15</t>
  </si>
  <si>
    <t>Plastik Bima uk.15</t>
  </si>
  <si>
    <t>CupS</t>
  </si>
  <si>
    <t>Cup Sambal</t>
  </si>
  <si>
    <t>Tbs</t>
  </si>
  <si>
    <t>Take Away Box S</t>
  </si>
  <si>
    <t>Tbm</t>
  </si>
  <si>
    <t>Take Away Box M</t>
  </si>
  <si>
    <t>TbL</t>
  </si>
  <si>
    <t>Take Away Bocx L</t>
  </si>
  <si>
    <t>Eko</t>
  </si>
  <si>
    <t xml:space="preserve">Ekonomi </t>
  </si>
  <si>
    <t>Plastik Soup M</t>
  </si>
  <si>
    <t xml:space="preserve">Plastik Soup L </t>
  </si>
  <si>
    <t xml:space="preserve">Lakban Segara </t>
  </si>
  <si>
    <t xml:space="preserve">Roll </t>
  </si>
  <si>
    <t>AT</t>
  </si>
  <si>
    <t>Air Tahu</t>
  </si>
  <si>
    <t>Botol</t>
  </si>
  <si>
    <t xml:space="preserve">Susu Evaporasi </t>
  </si>
  <si>
    <t>T</t>
  </si>
  <si>
    <t>M</t>
  </si>
  <si>
    <t>Mineral</t>
  </si>
  <si>
    <t>BC</t>
  </si>
  <si>
    <t>Cr</t>
  </si>
  <si>
    <t>GM</t>
  </si>
  <si>
    <t>Gorengan Mbakmoy</t>
  </si>
  <si>
    <t>Sagu</t>
  </si>
  <si>
    <t>Pete</t>
  </si>
  <si>
    <t>PT</t>
  </si>
  <si>
    <t>Maizena</t>
  </si>
  <si>
    <t>Ketan</t>
  </si>
  <si>
    <t>Beras</t>
  </si>
  <si>
    <t>Tapioka</t>
  </si>
  <si>
    <t>Urai</t>
  </si>
  <si>
    <t>Evap</t>
  </si>
  <si>
    <t>Cara200</t>
  </si>
  <si>
    <t>Cara1</t>
  </si>
  <si>
    <t>Creamer</t>
  </si>
  <si>
    <t>Oatside</t>
  </si>
  <si>
    <t>Cashew</t>
  </si>
  <si>
    <t>Keju</t>
  </si>
  <si>
    <t>Butter</t>
  </si>
  <si>
    <t>Pandan</t>
  </si>
  <si>
    <t>Lhychee</t>
  </si>
  <si>
    <t>Lemon</t>
  </si>
  <si>
    <t>Winter</t>
  </si>
  <si>
    <t>Polaris</t>
  </si>
  <si>
    <t>ZD</t>
  </si>
  <si>
    <t>Apple</t>
  </si>
  <si>
    <t>Gula</t>
  </si>
  <si>
    <t>GulaH</t>
  </si>
  <si>
    <t>Garam</t>
  </si>
  <si>
    <t>Knor</t>
  </si>
  <si>
    <t>Tipparos</t>
  </si>
  <si>
    <t>Maggi</t>
  </si>
  <si>
    <t>Nata</t>
  </si>
  <si>
    <t>Hijau</t>
  </si>
  <si>
    <t>Pink</t>
  </si>
  <si>
    <t>Plain</t>
  </si>
  <si>
    <t>Lakban</t>
  </si>
  <si>
    <t>Ice</t>
  </si>
  <si>
    <t>Hot</t>
  </si>
  <si>
    <t>Paper</t>
  </si>
  <si>
    <t>Bumbu Mie Goreng Jawa</t>
  </si>
  <si>
    <t>Roti Angsle</t>
  </si>
  <si>
    <t>SoupM</t>
  </si>
  <si>
    <t>SoupL</t>
  </si>
  <si>
    <t>SoupXS</t>
  </si>
  <si>
    <t>Sirsak</t>
  </si>
  <si>
    <t xml:space="preserve">Manggo Juice </t>
  </si>
  <si>
    <t>Sirsak Juice</t>
  </si>
  <si>
    <t>Berries</t>
  </si>
  <si>
    <t>Mix Berries</t>
  </si>
  <si>
    <t>Sdt</t>
  </si>
  <si>
    <t>SM</t>
  </si>
  <si>
    <t>Sumpit</t>
  </si>
  <si>
    <t>TA</t>
  </si>
  <si>
    <t>Tahu Aci</t>
  </si>
  <si>
    <t>RotiA</t>
  </si>
  <si>
    <t>RotiB</t>
  </si>
  <si>
    <t>Roti Bakar</t>
  </si>
  <si>
    <t>PGM</t>
  </si>
  <si>
    <t xml:space="preserve">Paha Gurih Manis </t>
  </si>
  <si>
    <t>Syp</t>
  </si>
  <si>
    <t>Sayap Goreng</t>
  </si>
  <si>
    <t>Porsi</t>
  </si>
  <si>
    <t>DGM</t>
  </si>
  <si>
    <t>Dada Gurih Manis</t>
  </si>
  <si>
    <t>Daging</t>
  </si>
  <si>
    <t xml:space="preserve">Daging Slice </t>
  </si>
  <si>
    <t>Plastik Soup XS</t>
  </si>
  <si>
    <t>Sun</t>
  </si>
  <si>
    <t>Sunquick Manggo</t>
  </si>
  <si>
    <t>Tomat</t>
  </si>
  <si>
    <t>MB</t>
  </si>
  <si>
    <t>Minyak Beku</t>
  </si>
  <si>
    <t>Agustus</t>
  </si>
  <si>
    <t>As</t>
  </si>
  <si>
    <t>Kunci Mas</t>
  </si>
  <si>
    <t>MC</t>
  </si>
  <si>
    <t>1  Pack Isi 10 pcs</t>
  </si>
  <si>
    <t>1 Pack Isi 10 pcs</t>
  </si>
  <si>
    <t xml:space="preserve">1 Pack Isi 10 pcs </t>
  </si>
  <si>
    <t xml:space="preserve">Stock Barang Frezeer Bumbu  </t>
  </si>
  <si>
    <t xml:space="preserve">Stock Barang Freezer Protein  </t>
  </si>
  <si>
    <t xml:space="preserve">Stock Barang Frezeer Roti &amp; Juice   </t>
  </si>
  <si>
    <t>SK</t>
  </si>
  <si>
    <t>Sambal Kuning</t>
  </si>
  <si>
    <t>S.terasi</t>
  </si>
  <si>
    <t>Sambal Terasi</t>
  </si>
  <si>
    <t>Tepung Terigu</t>
  </si>
  <si>
    <t>Terigu</t>
  </si>
  <si>
    <t>September</t>
  </si>
  <si>
    <t>Dgm</t>
  </si>
  <si>
    <t>Tk</t>
  </si>
  <si>
    <t>Twc</t>
  </si>
  <si>
    <t>Soupxs</t>
  </si>
  <si>
    <t>Tt</t>
  </si>
  <si>
    <t>Sb</t>
  </si>
  <si>
    <t>Ps.ukXl</t>
  </si>
  <si>
    <t>Tp</t>
  </si>
  <si>
    <t>Bc</t>
  </si>
  <si>
    <t>Lebih</t>
  </si>
  <si>
    <t>Lidah Goreng Segara</t>
  </si>
  <si>
    <t>LGS</t>
  </si>
  <si>
    <t>Br</t>
  </si>
  <si>
    <t>Uht</t>
  </si>
  <si>
    <t>Bk</t>
  </si>
  <si>
    <t>Sp</t>
  </si>
  <si>
    <t>BUL</t>
  </si>
  <si>
    <t>Bumbu Ungkep Lidah</t>
  </si>
  <si>
    <t>Bs</t>
  </si>
  <si>
    <t xml:space="preserve">Lebih </t>
  </si>
  <si>
    <t>Pt</t>
  </si>
  <si>
    <t>Bumbu Serundeng</t>
  </si>
  <si>
    <t>Serundeng</t>
  </si>
  <si>
    <t>Mc</t>
  </si>
  <si>
    <t>Sk</t>
  </si>
  <si>
    <t>Skm</t>
  </si>
  <si>
    <t>Gm</t>
  </si>
  <si>
    <t>paper</t>
  </si>
  <si>
    <t>Bt</t>
  </si>
  <si>
    <t>Rotib</t>
  </si>
  <si>
    <t>Tbl</t>
  </si>
  <si>
    <t>Bm24</t>
  </si>
  <si>
    <t>Plastik Bima uk24</t>
  </si>
  <si>
    <t>Cups</t>
  </si>
  <si>
    <t>mb</t>
  </si>
  <si>
    <t>Bu</t>
  </si>
  <si>
    <t>Stock Kurang</t>
  </si>
  <si>
    <t>Gulah</t>
  </si>
  <si>
    <t>Rr</t>
  </si>
  <si>
    <t>Ps.uks</t>
  </si>
  <si>
    <t>Bl</t>
  </si>
  <si>
    <t>eko</t>
  </si>
  <si>
    <t>TbM</t>
  </si>
  <si>
    <t>At</t>
  </si>
  <si>
    <t>St</t>
  </si>
  <si>
    <t>Bmg</t>
  </si>
  <si>
    <t>Lebbih</t>
  </si>
  <si>
    <t>Rusak</t>
  </si>
  <si>
    <t>Kurang</t>
  </si>
  <si>
    <t>TMeja</t>
  </si>
  <si>
    <t>Bul</t>
  </si>
  <si>
    <t>Pgm</t>
  </si>
  <si>
    <t>Mb</t>
  </si>
  <si>
    <t>tt</t>
  </si>
  <si>
    <t>keju</t>
  </si>
  <si>
    <t>urai</t>
  </si>
  <si>
    <t>Sm</t>
  </si>
  <si>
    <t>Tng</t>
  </si>
  <si>
    <t xml:space="preserve">Hilang </t>
  </si>
  <si>
    <t>Ps.ukm</t>
  </si>
  <si>
    <t>u/ minyak Beku</t>
  </si>
  <si>
    <t>Lbh</t>
  </si>
  <si>
    <t>Minus</t>
  </si>
  <si>
    <t>Akumulasi</t>
  </si>
  <si>
    <t>Bng</t>
  </si>
  <si>
    <t>PTA</t>
  </si>
  <si>
    <t>Pete Add On</t>
  </si>
  <si>
    <t>Pta</t>
  </si>
  <si>
    <t>uht</t>
  </si>
  <si>
    <t>gm</t>
  </si>
  <si>
    <t>Bg</t>
  </si>
  <si>
    <t>Soupm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</si>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</sst>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2"/>
      <color theme="1"/>
      <name val="Bahnschrift"/>
      <family val="34"/>
    </font>
    <font>
      <sz val="12"/>
      <color theme="1"/>
      <name val="Bahnschrift"/>
      <family val="34"/>
    </font>
    <font>
      <sz val="30"/>
      <color theme="1"/>
      <name val="Bahnschrift"/>
      <family val="34"/>
    </font>
    <font>
      <b/>
      <sz val="30"/>
      <color theme="1"/>
      <name val="Bahnschrift"/>
      <family val="34"/>
    </font>
    <font>
      <sz val="14"/>
      <color theme="1"/>
      <name val="Bahnschrift"/>
      <family val="34"/>
    </font>
    <font>
      <sz val="16"/>
      <color theme="1"/>
      <name val="Bahnschrift"/>
      <family val="34"/>
    </font>
    <font>
      <i/>
      <sz val="13"/>
      <color theme="1"/>
      <name val="Bahnschrift"/>
      <family val="34"/>
    </font>
    <font>
      <i/>
      <sz val="12"/>
      <color rgb="FFC00000"/>
      <name val="Bahnschrift"/>
      <family val="34"/>
    </font>
    <font>
      <sz val="11"/>
      <color theme="1"/>
      <name val="Bahnschrift"/>
      <family val="34"/>
    </font>
    <font>
      <sz val="12"/>
      <color rgb="FFC00000"/>
      <name val="Bahnschrift"/>
      <family val="34"/>
    </font>
    <font>
      <sz val="11"/>
      <color rgb="FFC00000"/>
      <name val="Bahnschrift"/>
      <family val="34"/>
    </font>
    <font>
      <sz val="12"/>
      <color theme="1"/>
      <name val="Bahnschrift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i/>
      <sz val="15"/>
      <color rgb="FFC00000"/>
      <name val="Bahnschrift"/>
      <family val="34"/>
    </font>
    <font>
      <b/>
      <i/>
      <sz val="16"/>
      <color rgb="FFC00000"/>
      <name val="Bahnschrift"/>
      <family val="34"/>
    </font>
    <font>
      <sz val="12"/>
      <color rgb="FFC00000"/>
      <name val="Bahnschrift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B9AE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7BABA"/>
        <bgColor indexed="64"/>
      </patternFill>
    </fill>
    <fill>
      <patternFill patternType="solid">
        <fgColor rgb="FFEFABDF"/>
        <bgColor indexed="64"/>
      </patternFill>
    </fill>
    <fill>
      <patternFill patternType="solid">
        <fgColor rgb="FFECF09A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8" fillId="0" borderId="0" xfId="0" applyFont="1"/>
    <xf numFmtId="0" fontId="2" fillId="4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0" xfId="0" applyFill="1"/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2" fillId="0" borderId="2" xfId="0" applyFont="1" applyBorder="1"/>
    <xf numFmtId="0" fontId="2" fillId="4" borderId="2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/>
    <xf numFmtId="0" fontId="2" fillId="0" borderId="1" xfId="0" applyFont="1" applyFill="1" applyBorder="1"/>
    <xf numFmtId="0" fontId="8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0" fillId="0" borderId="0" xfId="0" applyBorder="1"/>
    <xf numFmtId="0" fontId="2" fillId="4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/>
    <xf numFmtId="0" fontId="15" fillId="0" borderId="0" xfId="0" applyFont="1" applyAlignment="1">
      <alignment horizontal="left"/>
    </xf>
    <xf numFmtId="16" fontId="10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0" borderId="8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1" borderId="8" xfId="0" applyFont="1" applyFill="1" applyBorder="1"/>
    <xf numFmtId="0" fontId="2" fillId="0" borderId="2" xfId="0" applyFont="1" applyFill="1" applyBorder="1"/>
    <xf numFmtId="16" fontId="10" fillId="0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/>
    <xf numFmtId="16" fontId="2" fillId="0" borderId="2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16" fontId="2" fillId="0" borderId="8" xfId="0" applyNumberFormat="1" applyFont="1" applyFill="1" applyBorder="1" applyAlignment="1">
      <alignment horizontal="center"/>
    </xf>
    <xf numFmtId="0" fontId="10" fillId="0" borderId="1" xfId="0" applyFont="1" applyFill="1" applyBorder="1"/>
    <xf numFmtId="0" fontId="10" fillId="0" borderId="1" xfId="0" applyFont="1" applyBorder="1"/>
    <xf numFmtId="0" fontId="17" fillId="0" borderId="1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16" fontId="2" fillId="0" borderId="3" xfId="0" applyNumberFormat="1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4" borderId="1" xfId="0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5" xfId="0" applyFont="1" applyFill="1" applyBorder="1" applyAlignment="1">
      <alignment horizontal="left"/>
    </xf>
    <xf numFmtId="0" fontId="15" fillId="0" borderId="5" xfId="0" applyFont="1" applyBorder="1" applyAlignment="1"/>
    <xf numFmtId="0" fontId="15" fillId="0" borderId="5" xfId="0" applyFont="1" applyBorder="1" applyAlignment="1">
      <alignment horizontal="left"/>
    </xf>
  </cellXfs>
  <cellStyles count="1">
    <cellStyle name="Normal" xfId="0" builtinId="0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505D-207B-4647-BF1F-7946312C75C7}">
  <dimension ref="A1:O138"/>
  <sheetViews>
    <sheetView tabSelected="1" zoomScaleNormal="150" zoomScaleSheetLayoutView="100" workbookViewId="0">
      <selection activeCell="A5" sqref="A5:H139"/>
    </sheetView>
  </sheetViews>
  <sheetFormatPr defaultRowHeight="15" x14ac:dyDescent="0.2"/>
  <cols>
    <col min="1" max="1" width="16.54296875" customWidth="1"/>
    <col min="2" max="2" width="30.40234375" customWidth="1"/>
    <col min="3" max="3" width="14.9296875" customWidth="1"/>
    <col min="4" max="4" width="15.46875" customWidth="1"/>
    <col min="5" max="5" width="14.125" customWidth="1"/>
    <col min="6" max="6" width="15.33203125" customWidth="1"/>
    <col min="7" max="7" width="13.44921875" customWidth="1"/>
    <col min="9" max="9" width="18.83203125" customWidth="1"/>
  </cols>
  <sheetData>
    <row r="1" spans="1:15" ht="41.25" x14ac:dyDescent="0.55000000000000004">
      <c r="A1" s="87" t="s">
        <v>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ht="2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5" spans="1:15" ht="18.75" x14ac:dyDescent="0.25">
      <c r="A5" s="4" t="s">
        <v>7</v>
      </c>
      <c r="B5" s="4" t="s">
        <v>267</v>
      </c>
      <c r="C5" s="4"/>
    </row>
    <row r="6" spans="1:15" ht="21" x14ac:dyDescent="0.25">
      <c r="A6" s="86" t="s">
        <v>259</v>
      </c>
      <c r="B6" s="86"/>
      <c r="C6" s="9"/>
    </row>
    <row r="7" spans="1:15" ht="16.5" x14ac:dyDescent="0.2">
      <c r="A7" s="1" t="s">
        <v>2</v>
      </c>
      <c r="B7" s="1" t="s">
        <v>3</v>
      </c>
      <c r="C7" s="1" t="s">
        <v>58</v>
      </c>
      <c r="D7" s="1" t="s">
        <v>4</v>
      </c>
      <c r="E7" s="1" t="s">
        <v>5</v>
      </c>
      <c r="F7" s="1" t="s">
        <v>6</v>
      </c>
      <c r="G7" s="1" t="s">
        <v>63</v>
      </c>
    </row>
    <row r="8" spans="1:15" ht="16.5" x14ac:dyDescent="0.2">
      <c r="A8" s="8" t="s">
        <v>8</v>
      </c>
      <c r="B8" s="3" t="s">
        <v>11</v>
      </c>
      <c r="C8" s="5" t="s">
        <v>59</v>
      </c>
      <c r="D8" s="5">
        <v>31</v>
      </c>
      <c r="E8" s="5">
        <f>SUMIF('Barang Masuk '!$C$6:$C$1510,B8,'Barang Masuk '!$D$6:$D$1510)</f>
        <v>380</v>
      </c>
      <c r="F8" s="5">
        <f>SUMIF('Barang keluar'!$C$6:$C$1689,B8,'Barang keluar'!$D$6:$D$1689)</f>
        <v>381</v>
      </c>
      <c r="G8" s="5">
        <f>D8+E8-F8</f>
        <v>30</v>
      </c>
    </row>
    <row r="9" spans="1:15" ht="16.5" x14ac:dyDescent="0.2">
      <c r="A9" s="8" t="s">
        <v>9</v>
      </c>
      <c r="B9" s="3" t="s">
        <v>12</v>
      </c>
      <c r="C9" s="5" t="s">
        <v>59</v>
      </c>
      <c r="D9" s="5">
        <v>77</v>
      </c>
      <c r="E9" s="5">
        <f>SUMIF('Barang Masuk '!$C$6:$C$1510,B9,'Barang Masuk '!$D$6:$D$1510)</f>
        <v>211</v>
      </c>
      <c r="F9" s="5">
        <f>SUMIF('Barang keluar'!$C$6:$C$1689,B9,'Barang keluar'!$D$6:$D$1689)</f>
        <v>250</v>
      </c>
      <c r="G9" s="5">
        <f t="shared" ref="G9:G26" si="0">D9+E9-F9</f>
        <v>38</v>
      </c>
    </row>
    <row r="10" spans="1:15" ht="16.5" x14ac:dyDescent="0.2">
      <c r="A10" s="8" t="s">
        <v>10</v>
      </c>
      <c r="B10" s="3" t="s">
        <v>13</v>
      </c>
      <c r="C10" s="5" t="s">
        <v>59</v>
      </c>
      <c r="D10" s="5">
        <v>20</v>
      </c>
      <c r="E10" s="5">
        <f>SUMIF('Barang Masuk '!$C$6:$C$1510,B10,'Barang Masuk '!$D$6:$D$1510)</f>
        <v>72</v>
      </c>
      <c r="F10" s="5">
        <f>SUMIF('Barang keluar'!$C$6:$C$1689,B10,'Barang keluar'!$D$6:$D$1689)</f>
        <v>72</v>
      </c>
      <c r="G10" s="5">
        <f t="shared" si="0"/>
        <v>20</v>
      </c>
    </row>
    <row r="11" spans="1:15" ht="16.5" x14ac:dyDescent="0.2">
      <c r="A11" s="8" t="s">
        <v>14</v>
      </c>
      <c r="B11" s="3" t="s">
        <v>15</v>
      </c>
      <c r="C11" s="5" t="s">
        <v>59</v>
      </c>
      <c r="D11" s="5">
        <v>22</v>
      </c>
      <c r="E11" s="5">
        <f>SUMIF('Barang Masuk '!$C$6:$C$1510,B11,'Barang Masuk '!$D$6:$D$1510)</f>
        <v>145</v>
      </c>
      <c r="F11" s="5">
        <f>SUMIF('Barang keluar'!$C$6:$C$1689,B11,'Barang keluar'!$D$6:$D$1689)</f>
        <v>165</v>
      </c>
      <c r="G11" s="5">
        <f t="shared" si="0"/>
        <v>2</v>
      </c>
    </row>
    <row r="12" spans="1:15" ht="16.5" x14ac:dyDescent="0.2">
      <c r="A12" s="8" t="s">
        <v>241</v>
      </c>
      <c r="B12" s="3" t="s">
        <v>242</v>
      </c>
      <c r="C12" s="5" t="s">
        <v>59</v>
      </c>
      <c r="D12" s="5">
        <v>28</v>
      </c>
      <c r="E12" s="5">
        <f>SUMIF('Barang Masuk '!$C$6:$C$1510,B12,'Barang Masuk '!$D$6:$D$1510)</f>
        <v>70</v>
      </c>
      <c r="F12" s="5">
        <f>SUMIF('Barang keluar'!$C$6:$C$1689,B12,'Barang keluar'!$D$6:$D$1689)</f>
        <v>59</v>
      </c>
      <c r="G12" s="5">
        <f t="shared" si="0"/>
        <v>39</v>
      </c>
    </row>
    <row r="13" spans="1:15" ht="16.5" x14ac:dyDescent="0.2">
      <c r="A13" s="8" t="s">
        <v>236</v>
      </c>
      <c r="B13" s="3" t="s">
        <v>237</v>
      </c>
      <c r="C13" s="5" t="s">
        <v>59</v>
      </c>
      <c r="D13" s="5">
        <v>4</v>
      </c>
      <c r="E13" s="5">
        <f>SUMIF('Barang Masuk '!$C$6:$C$1510,B13,'Barang Masuk '!$D$6:$D$1510)</f>
        <v>122</v>
      </c>
      <c r="F13" s="5">
        <f>SUMIF('Barang keluar'!$C$6:$C$1689,B13,'Barang keluar'!$D$6:$D$1689)</f>
        <v>96</v>
      </c>
      <c r="G13" s="5">
        <f t="shared" si="0"/>
        <v>30</v>
      </c>
    </row>
    <row r="14" spans="1:15" ht="16.5" x14ac:dyDescent="0.2">
      <c r="A14" s="8" t="s">
        <v>16</v>
      </c>
      <c r="B14" s="3" t="s">
        <v>17</v>
      </c>
      <c r="C14" s="5" t="s">
        <v>59</v>
      </c>
      <c r="D14" s="5">
        <v>50</v>
      </c>
      <c r="E14" s="5">
        <f>SUMIF('Barang Masuk '!$C$6:$C$1510,B14,'Barang Masuk '!$D$6:$D$1510)</f>
        <v>293</v>
      </c>
      <c r="F14" s="5">
        <f>SUMIF('Barang keluar'!$C$6:$C$1689,B14,'Barang keluar'!$D$6:$D$1689)</f>
        <v>297</v>
      </c>
      <c r="G14" s="5">
        <f>D14+E14-F14</f>
        <v>46</v>
      </c>
    </row>
    <row r="15" spans="1:15" ht="16.5" x14ac:dyDescent="0.2">
      <c r="A15" s="8" t="s">
        <v>19</v>
      </c>
      <c r="B15" s="3" t="s">
        <v>18</v>
      </c>
      <c r="C15" s="5" t="s">
        <v>59</v>
      </c>
      <c r="D15" s="5">
        <v>8</v>
      </c>
      <c r="E15" s="5">
        <f>SUMIF('Barang Masuk '!$C$6:$C$1510,B15,'Barang Masuk '!$D$6:$D$1510)</f>
        <v>204</v>
      </c>
      <c r="F15" s="5">
        <f>SUMIF('Barang keluar'!$C$6:$C$1689,B15,'Barang keluar'!$D$6:$D$1689)</f>
        <v>195</v>
      </c>
      <c r="G15" s="5">
        <f t="shared" si="0"/>
        <v>17</v>
      </c>
    </row>
    <row r="16" spans="1:15" ht="16.5" x14ac:dyDescent="0.2">
      <c r="A16" s="8" t="s">
        <v>238</v>
      </c>
      <c r="B16" s="3" t="s">
        <v>239</v>
      </c>
      <c r="C16" s="5" t="s">
        <v>240</v>
      </c>
      <c r="D16" s="5">
        <v>55</v>
      </c>
      <c r="E16" s="5">
        <f>SUMIF('Barang Masuk '!$C$6:$C$1510,B16,'Barang Masuk '!$D$6:$D$1510)</f>
        <v>52</v>
      </c>
      <c r="F16" s="5">
        <f>SUMIF('Barang keluar'!$C$6:$C$1689,B16,'Barang keluar'!$D$6:$D$1689)</f>
        <v>88</v>
      </c>
      <c r="G16" s="5">
        <f t="shared" si="0"/>
        <v>19</v>
      </c>
    </row>
    <row r="17" spans="1:7" ht="16.5" x14ac:dyDescent="0.2">
      <c r="A17" s="8" t="s">
        <v>243</v>
      </c>
      <c r="B17" s="3" t="s">
        <v>244</v>
      </c>
      <c r="C17" s="5" t="s">
        <v>240</v>
      </c>
      <c r="D17" s="5">
        <v>41</v>
      </c>
      <c r="E17" s="5">
        <f>SUMIF('Barang Masuk '!$C$6:$C$1510,B17,'Barang Masuk '!$D$6:$D$1510)</f>
        <v>70</v>
      </c>
      <c r="F17" s="5">
        <f>SUMIF('Barang keluar'!$C$6:$C$1689,B17,'Barang keluar'!$D$6:$D$1689)</f>
        <v>90</v>
      </c>
      <c r="G17" s="5">
        <f t="shared" si="0"/>
        <v>21</v>
      </c>
    </row>
    <row r="18" spans="1:7" ht="16.5" x14ac:dyDescent="0.2">
      <c r="A18" s="8" t="s">
        <v>20</v>
      </c>
      <c r="B18" s="3" t="s">
        <v>21</v>
      </c>
      <c r="C18" s="5" t="s">
        <v>59</v>
      </c>
      <c r="D18" s="5">
        <v>146</v>
      </c>
      <c r="E18" s="5">
        <f>SUMIF('Barang Masuk '!$C$6:$C$1510,B18,'Barang Masuk '!$D$6:$D$1510)</f>
        <v>245</v>
      </c>
      <c r="F18" s="5">
        <f>SUMIF('Barang keluar'!$C$6:$C$1689,B18,'Barang keluar'!$D$6:$D$1689)</f>
        <v>247</v>
      </c>
      <c r="G18" s="5">
        <f t="shared" si="0"/>
        <v>144</v>
      </c>
    </row>
    <row r="19" spans="1:7" ht="16.5" x14ac:dyDescent="0.2">
      <c r="A19" s="8" t="s">
        <v>22</v>
      </c>
      <c r="B19" s="3" t="s">
        <v>23</v>
      </c>
      <c r="C19" s="5" t="s">
        <v>59</v>
      </c>
      <c r="D19" s="5">
        <v>63</v>
      </c>
      <c r="E19" s="5">
        <f>SUMIF('Barang Masuk '!$C$6:$C$1510,B19,'Barang Masuk '!$D$6:$D$1510)</f>
        <v>147</v>
      </c>
      <c r="F19" s="5">
        <f>SUMIF('Barang keluar'!$C$6:$C$1689,B19,'Barang keluar'!$D$6:$D$1689)</f>
        <v>147</v>
      </c>
      <c r="G19" s="5">
        <f t="shared" si="0"/>
        <v>63</v>
      </c>
    </row>
    <row r="20" spans="1:7" ht="16.5" x14ac:dyDescent="0.2">
      <c r="A20" s="8" t="s">
        <v>24</v>
      </c>
      <c r="B20" s="3" t="s">
        <v>25</v>
      </c>
      <c r="C20" s="5" t="s">
        <v>59</v>
      </c>
      <c r="D20" s="5">
        <v>106</v>
      </c>
      <c r="E20" s="5">
        <f>SUMIF('Barang Masuk '!$C$6:$C$1510,B20,'Barang Masuk '!$D$6:$D$1510)</f>
        <v>124</v>
      </c>
      <c r="F20" s="5">
        <f>SUMIF('Barang keluar'!$C$6:$C$1689,B20,'Barang keluar'!$D$6:$D$1689)</f>
        <v>169</v>
      </c>
      <c r="G20" s="5">
        <f>D20+E20-F20</f>
        <v>61</v>
      </c>
    </row>
    <row r="21" spans="1:7" ht="16.5" x14ac:dyDescent="0.2">
      <c r="A21" s="8" t="s">
        <v>279</v>
      </c>
      <c r="B21" s="3" t="s">
        <v>278</v>
      </c>
      <c r="C21" s="5" t="s">
        <v>59</v>
      </c>
      <c r="D21" s="5">
        <v>0</v>
      </c>
      <c r="E21" s="5">
        <f>SUMIF('Barang Masuk '!$C$6:$C$1510,B21,'Barang Masuk '!$D$6:$D$1510)</f>
        <v>147</v>
      </c>
      <c r="F21" s="5">
        <f>SUMIF('Barang keluar'!$C$6:$C$1689,B21,'Barang keluar'!$D$6:$D$1689)</f>
        <v>127</v>
      </c>
      <c r="G21" s="5">
        <f t="shared" si="0"/>
        <v>20</v>
      </c>
    </row>
    <row r="22" spans="1:7" ht="16.5" x14ac:dyDescent="0.2">
      <c r="A22" s="8" t="s">
        <v>26</v>
      </c>
      <c r="B22" s="3" t="s">
        <v>27</v>
      </c>
      <c r="C22" s="5" t="s">
        <v>59</v>
      </c>
      <c r="D22" s="5">
        <v>31</v>
      </c>
      <c r="E22" s="5">
        <f>SUMIF('Barang Masuk '!$C$6:$C$1510,B22,'Barang Masuk '!$D$6:$D$1510)</f>
        <v>61</v>
      </c>
      <c r="F22" s="5">
        <f>SUMIF('Barang keluar'!$C$6:$C$1689,B22,'Barang keluar'!$D$6:$D$1689)</f>
        <v>76</v>
      </c>
      <c r="G22" s="5">
        <f t="shared" si="0"/>
        <v>16</v>
      </c>
    </row>
    <row r="23" spans="1:7" ht="16.5" x14ac:dyDescent="0.2">
      <c r="A23" s="8" t="s">
        <v>28</v>
      </c>
      <c r="B23" s="3" t="s">
        <v>29</v>
      </c>
      <c r="C23" s="5" t="s">
        <v>59</v>
      </c>
      <c r="D23" s="5">
        <v>30</v>
      </c>
      <c r="E23" s="5">
        <f>SUMIF('Barang Masuk '!$C$6:$C$1510,B23,'Barang Masuk '!$D$6:$D$1510)</f>
        <v>48</v>
      </c>
      <c r="F23" s="5">
        <f>SUMIF('Barang keluar'!$C$6:$C$1689,B23,'Barang keluar'!$D$6:$D$1689)</f>
        <v>58</v>
      </c>
      <c r="G23" s="5">
        <f t="shared" si="0"/>
        <v>20</v>
      </c>
    </row>
    <row r="24" spans="1:7" ht="16.5" x14ac:dyDescent="0.2">
      <c r="A24" s="8" t="s">
        <v>333</v>
      </c>
      <c r="B24" s="3" t="s">
        <v>334</v>
      </c>
      <c r="C24" s="5" t="s">
        <v>59</v>
      </c>
      <c r="D24" s="5">
        <v>0</v>
      </c>
      <c r="E24" s="5">
        <f>SUMIF('Barang Masuk '!$C$6:$C$1510,B24,'Barang Masuk '!$D$6:$D$1510)</f>
        <v>10</v>
      </c>
      <c r="F24" s="5">
        <f>SUMIF('Barang keluar'!$C$6:$C$1689,B24,'Barang keluar'!$D$6:$D$1689)</f>
        <v>3</v>
      </c>
      <c r="G24" s="5">
        <f t="shared" si="0"/>
        <v>7</v>
      </c>
    </row>
    <row r="25" spans="1:7" ht="16.5" x14ac:dyDescent="0.2">
      <c r="A25" s="8" t="s">
        <v>183</v>
      </c>
      <c r="B25" s="3" t="s">
        <v>182</v>
      </c>
      <c r="C25" s="5" t="s">
        <v>59</v>
      </c>
      <c r="D25" s="5">
        <v>4</v>
      </c>
      <c r="E25" s="5">
        <f>SUMIF('Barang Masuk '!$C$6:$C$1510,B25,'Barang Masuk '!$D$6:$D$1510)</f>
        <v>15</v>
      </c>
      <c r="F25" s="5">
        <f>SUMIF('Barang keluar'!$C$6:$C$1689,B25,'Barang keluar'!$D$6:$D$1689)</f>
        <v>11</v>
      </c>
      <c r="G25" s="5">
        <f t="shared" si="0"/>
        <v>8</v>
      </c>
    </row>
    <row r="26" spans="1:7" ht="16.5" x14ac:dyDescent="0.2">
      <c r="A26" s="8" t="s">
        <v>31</v>
      </c>
      <c r="B26" s="3" t="s">
        <v>30</v>
      </c>
      <c r="C26" s="5" t="s">
        <v>59</v>
      </c>
      <c r="D26" s="5">
        <v>45</v>
      </c>
      <c r="E26" s="5">
        <f>SUMIF('Barang Masuk '!$C$6:$C$1510,B26,'Barang Masuk '!$D$6:$D$1510)</f>
        <v>265</v>
      </c>
      <c r="F26" s="5">
        <f>SUMIF('Barang keluar'!$C$6:$C$1689,B26,'Barang keluar'!$D$6:$D$1689)</f>
        <v>246</v>
      </c>
      <c r="G26" s="5">
        <f t="shared" si="0"/>
        <v>64</v>
      </c>
    </row>
    <row r="27" spans="1:7" ht="16.5" x14ac:dyDescent="0.2">
      <c r="A27" s="44" t="s">
        <v>38</v>
      </c>
      <c r="B27" s="39" t="s">
        <v>40</v>
      </c>
      <c r="C27" s="16" t="s">
        <v>59</v>
      </c>
      <c r="D27" s="16">
        <v>27</v>
      </c>
      <c r="E27" s="16">
        <f>SUMIF('Barang Masuk '!$C$6:$C$1510,B27,'Barang Masuk '!$D$6:$D$1510)</f>
        <v>139</v>
      </c>
      <c r="F27" s="16">
        <f>SUMIF('Barang keluar'!$C$6:$C$1689,B27,'Barang keluar'!$D$6:$D$1689)</f>
        <v>116</v>
      </c>
      <c r="G27" s="16">
        <f>D27+E27-F27</f>
        <v>50</v>
      </c>
    </row>
    <row r="28" spans="1:7" ht="16.5" x14ac:dyDescent="0.2">
      <c r="A28" s="8" t="s">
        <v>177</v>
      </c>
      <c r="B28" s="3" t="s">
        <v>42</v>
      </c>
      <c r="C28" s="5" t="s">
        <v>59</v>
      </c>
      <c r="D28" s="5">
        <v>201</v>
      </c>
      <c r="E28" s="5">
        <f>SUMIF('Barang Masuk '!$C$6:$C$1510,B28,'Barang Masuk '!$D$6:$D$1510)</f>
        <v>164</v>
      </c>
      <c r="F28" s="5">
        <f>SUMIF('Barang keluar'!$C$6:$C$1689,B28,'Barang keluar'!$D$6:$D$1689)</f>
        <v>305</v>
      </c>
      <c r="G28" s="5">
        <f>D28+E28-F28</f>
        <v>60</v>
      </c>
    </row>
    <row r="29" spans="1:7" ht="16.5" x14ac:dyDescent="0.2">
      <c r="A29" s="8" t="s">
        <v>231</v>
      </c>
      <c r="B29" s="3" t="s">
        <v>232</v>
      </c>
      <c r="C29" s="5" t="s">
        <v>60</v>
      </c>
      <c r="D29" s="19">
        <v>0</v>
      </c>
      <c r="E29" s="16">
        <f>SUMIF('Barang Masuk '!$C$6:$C$1510,B29,'Barang Masuk '!$D$6:$D$1510)</f>
        <v>9</v>
      </c>
      <c r="F29" s="5">
        <f>SUMIF('Barang keluar'!$C$6:$C$1689,B29,'Barang keluar'!$D$6:$D$1689)</f>
        <v>1</v>
      </c>
      <c r="G29" s="5">
        <f>D29+E29-F29</f>
        <v>8</v>
      </c>
    </row>
    <row r="30" spans="1:7" ht="16.5" x14ac:dyDescent="0.2">
      <c r="A30" s="8" t="s">
        <v>178</v>
      </c>
      <c r="B30" s="3" t="s">
        <v>39</v>
      </c>
      <c r="C30" s="5" t="s">
        <v>59</v>
      </c>
      <c r="D30" s="5">
        <v>36</v>
      </c>
      <c r="E30" s="5">
        <f>SUMIF('Barang Masuk '!$C$6:$C$1510,B30,'Barang Masuk '!$D$6:$D$1510)</f>
        <v>0</v>
      </c>
      <c r="F30" s="5">
        <f>SUMIF('Barang keluar'!$C$6:$C$1689,B30,'Barang keluar'!$D$6:$D$1689)</f>
        <v>32</v>
      </c>
      <c r="G30" s="5">
        <f>D30+E30-F30</f>
        <v>4</v>
      </c>
    </row>
    <row r="31" spans="1:7" s="43" customFormat="1" ht="20.25" x14ac:dyDescent="0.25">
      <c r="A31" s="89" t="s">
        <v>258</v>
      </c>
      <c r="B31" s="89"/>
      <c r="C31" s="18"/>
      <c r="D31" s="18"/>
      <c r="E31" s="18"/>
      <c r="F31" s="18"/>
      <c r="G31"/>
    </row>
    <row r="32" spans="1:7" ht="16.5" x14ac:dyDescent="0.2">
      <c r="A32" s="8" t="s">
        <v>41</v>
      </c>
      <c r="B32" s="3" t="s">
        <v>43</v>
      </c>
      <c r="C32" s="5" t="s">
        <v>60</v>
      </c>
      <c r="D32" s="5">
        <v>18</v>
      </c>
      <c r="E32" s="5">
        <f>SUMIF('Barang Masuk '!$C$6:$C$1510,B32,'Barang Masuk '!$D$6:$D$1510)</f>
        <v>10</v>
      </c>
      <c r="F32" s="5">
        <f>SUMIF('Barang keluar'!$C$6:$C$1689,B32,'Barang keluar'!$D$6:$D$1689)</f>
        <v>27</v>
      </c>
      <c r="G32" s="5">
        <f>D32+E32-F32</f>
        <v>1</v>
      </c>
    </row>
    <row r="33" spans="1:7" ht="16.5" x14ac:dyDescent="0.2">
      <c r="A33" s="35" t="s">
        <v>263</v>
      </c>
      <c r="B33" s="34" t="s">
        <v>264</v>
      </c>
      <c r="C33" s="15" t="s">
        <v>60</v>
      </c>
      <c r="D33" s="15">
        <v>4</v>
      </c>
      <c r="E33" s="5">
        <f>SUMIF('Barang Masuk '!$C$6:$C$1510,B33,'Barang Masuk '!$D$6:$D$1510)</f>
        <v>7</v>
      </c>
      <c r="F33" s="5">
        <f>SUMIF('Barang keluar'!$C$6:$C$1689,B33,'Barang keluar'!$D$6:$D$1689)</f>
        <v>6</v>
      </c>
      <c r="G33" s="5">
        <f>D33+E33-F33</f>
        <v>5</v>
      </c>
    </row>
    <row r="34" spans="1:7" ht="16.5" x14ac:dyDescent="0.2">
      <c r="A34" s="35" t="s">
        <v>261</v>
      </c>
      <c r="B34" s="34" t="s">
        <v>262</v>
      </c>
      <c r="C34" s="15" t="s">
        <v>60</v>
      </c>
      <c r="D34" s="15">
        <v>4</v>
      </c>
      <c r="E34" s="5">
        <f>SUMIF('Barang Masuk '!$C$6:$C$1510,B34,'Barang Masuk '!$D$6:$D$1510)</f>
        <v>17</v>
      </c>
      <c r="F34" s="5">
        <f>SUMIF('Barang keluar'!$C$6:$C$1689,B34,'Barang keluar'!$D$6:$D$1689)</f>
        <v>17</v>
      </c>
      <c r="G34" s="5">
        <f>D34+E34-F34</f>
        <v>4</v>
      </c>
    </row>
    <row r="35" spans="1:7" ht="16.5" x14ac:dyDescent="0.2">
      <c r="A35" s="35" t="s">
        <v>46</v>
      </c>
      <c r="B35" s="34" t="s">
        <v>47</v>
      </c>
      <c r="C35" s="15" t="s">
        <v>60</v>
      </c>
      <c r="D35" s="15">
        <v>13</v>
      </c>
      <c r="E35" s="15">
        <f>SUMIF('Barang Masuk '!$C$6:$C$1510,B35,'Barang Masuk '!$D$6:$D$1510)</f>
        <v>12</v>
      </c>
      <c r="F35" s="15">
        <f>SUMIF('Barang keluar'!$C$6:$C$1689,B35,'Barang keluar'!$D$6:$D$1689)</f>
        <v>14</v>
      </c>
      <c r="G35" s="15">
        <f t="shared" ref="G35:G42" si="1">D35+E35-F35</f>
        <v>11</v>
      </c>
    </row>
    <row r="36" spans="1:7" ht="16.5" x14ac:dyDescent="0.2">
      <c r="A36" s="8" t="s">
        <v>44</v>
      </c>
      <c r="B36" s="3" t="s">
        <v>45</v>
      </c>
      <c r="C36" s="5" t="s">
        <v>60</v>
      </c>
      <c r="D36" s="5">
        <v>5</v>
      </c>
      <c r="E36" s="5">
        <f>SUMIF('Barang Masuk '!$C$6:$C$1510,B36,'Barang Masuk '!$D$6:$D$1510)</f>
        <v>2</v>
      </c>
      <c r="F36" s="5">
        <f>SUMIF('Barang keluar'!$C$6:$C$1689,B36,'Barang keluar'!$D$6:$D$1689)</f>
        <v>4</v>
      </c>
      <c r="G36" s="5">
        <f>D36+E36-F36</f>
        <v>3</v>
      </c>
    </row>
    <row r="37" spans="1:7" ht="16.5" x14ac:dyDescent="0.2">
      <c r="A37" s="8" t="s">
        <v>32</v>
      </c>
      <c r="B37" s="3" t="s">
        <v>33</v>
      </c>
      <c r="C37" s="5" t="s">
        <v>60</v>
      </c>
      <c r="D37" s="5">
        <v>7</v>
      </c>
      <c r="E37" s="5">
        <f>SUMIF('Barang Masuk '!$C$6:$C$1510,B37,'Barang Masuk '!$D$6:$D$1510)</f>
        <v>3</v>
      </c>
      <c r="F37" s="5">
        <f>SUMIF('Barang keluar'!$C$6:$C$1689,B37,'Barang keluar'!$D$6:$D$1689)</f>
        <v>4</v>
      </c>
      <c r="G37" s="5">
        <f t="shared" si="1"/>
        <v>6</v>
      </c>
    </row>
    <row r="38" spans="1:7" ht="16.5" x14ac:dyDescent="0.2">
      <c r="A38" s="8" t="s">
        <v>34</v>
      </c>
      <c r="B38" s="3" t="s">
        <v>35</v>
      </c>
      <c r="C38" s="5" t="s">
        <v>60</v>
      </c>
      <c r="D38" s="5">
        <v>4</v>
      </c>
      <c r="E38" s="5">
        <f>SUMIF('Barang Masuk '!$C$6:$C$1510,B38,'Barang Masuk '!$D$6:$D$1510)</f>
        <v>10</v>
      </c>
      <c r="F38" s="5">
        <f>SUMIF('Barang keluar'!$C$6:$C$1689,B38,'Barang keluar'!$D$6:$D$1689)</f>
        <v>10</v>
      </c>
      <c r="G38" s="5">
        <f t="shared" si="1"/>
        <v>4</v>
      </c>
    </row>
    <row r="39" spans="1:7" ht="16.5" x14ac:dyDescent="0.2">
      <c r="A39" s="8" t="s">
        <v>290</v>
      </c>
      <c r="B39" s="3" t="s">
        <v>289</v>
      </c>
      <c r="C39" s="5" t="s">
        <v>60</v>
      </c>
      <c r="D39" s="5">
        <v>0</v>
      </c>
      <c r="E39" s="5">
        <f>SUMIF('Barang Masuk '!$C$6:$C$1510,B39,'Barang Masuk '!$D$6:$D$1510)</f>
        <v>59</v>
      </c>
      <c r="F39" s="5">
        <f>SUMIF('Barang keluar'!$C$6:$C$1689,B39,'Barang keluar'!$D$6:$D$1689)</f>
        <v>39</v>
      </c>
      <c r="G39" s="5">
        <f t="shared" si="1"/>
        <v>20</v>
      </c>
    </row>
    <row r="40" spans="1:7" ht="16.5" x14ac:dyDescent="0.2">
      <c r="A40" s="8" t="s">
        <v>36</v>
      </c>
      <c r="B40" s="3" t="s">
        <v>37</v>
      </c>
      <c r="C40" s="5" t="s">
        <v>60</v>
      </c>
      <c r="D40" s="5">
        <v>9</v>
      </c>
      <c r="E40" s="5">
        <f>SUMIF('Barang Masuk '!$C$6:$C$1510,B40,'Barang Masuk '!$D$6:$D$1510)</f>
        <v>4</v>
      </c>
      <c r="F40" s="5">
        <f>SUMIF('Barang keluar'!$C$6:$C$1689,B40,'Barang keluar'!$D$6:$D$1689)</f>
        <v>12</v>
      </c>
      <c r="G40" s="5">
        <f>D40+E40-F40</f>
        <v>1</v>
      </c>
    </row>
    <row r="41" spans="1:7" ht="16.5" x14ac:dyDescent="0.2">
      <c r="A41" s="8" t="s">
        <v>179</v>
      </c>
      <c r="B41" s="3" t="s">
        <v>180</v>
      </c>
      <c r="C41" s="5" t="s">
        <v>88</v>
      </c>
      <c r="D41" s="5">
        <v>10</v>
      </c>
      <c r="E41" s="5">
        <f>SUMIF('Barang Masuk '!$C$6:$C$1510,B41,'Barang Masuk '!$D$6:$D$1510)</f>
        <v>0</v>
      </c>
      <c r="F41" s="5">
        <f>SUMIF('Barang keluar'!$C$6:$C$1689,B41,'Barang keluar'!$D$6:$D$1689)</f>
        <v>10</v>
      </c>
      <c r="G41" s="5">
        <f t="shared" si="1"/>
        <v>0</v>
      </c>
    </row>
    <row r="42" spans="1:7" ht="16.5" x14ac:dyDescent="0.2">
      <c r="A42" s="8" t="s">
        <v>284</v>
      </c>
      <c r="B42" s="3" t="s">
        <v>285</v>
      </c>
      <c r="C42" s="5" t="s">
        <v>88</v>
      </c>
      <c r="D42" s="5">
        <v>0</v>
      </c>
      <c r="E42" s="5">
        <f>SUMIF('Barang Masuk '!$C$6:$C$1510,B42,'Barang Masuk '!$D$6:$D$1510)</f>
        <v>9</v>
      </c>
      <c r="F42" s="5">
        <f>SUMIF('Barang keluar'!$C$6:$C$1689,B42,'Barang keluar'!$D$6:$D$1689)</f>
        <v>4</v>
      </c>
      <c r="G42" s="5">
        <f t="shared" si="1"/>
        <v>5</v>
      </c>
    </row>
    <row r="43" spans="1:7" ht="16.5" x14ac:dyDescent="0.2">
      <c r="A43" s="8" t="s">
        <v>48</v>
      </c>
      <c r="B43" s="3" t="s">
        <v>49</v>
      </c>
      <c r="C43" s="5" t="s">
        <v>60</v>
      </c>
      <c r="D43" s="5">
        <v>6</v>
      </c>
      <c r="E43" s="5">
        <f>SUMIF('Barang Masuk '!$C$6:$C$1510,B43,'Barang Masuk '!$D$6:$D$1510)</f>
        <v>0</v>
      </c>
      <c r="F43" s="5">
        <f>SUMIF('Barang keluar'!$C$6:$C$1689,B43,'Barang keluar'!$D$6:$D$1689)</f>
        <v>2</v>
      </c>
      <c r="G43" s="5">
        <f>D43+E43-F43</f>
        <v>4</v>
      </c>
    </row>
    <row r="44" spans="1:7" ht="16.5" x14ac:dyDescent="0.2">
      <c r="A44" s="8" t="s">
        <v>50</v>
      </c>
      <c r="B44" s="3" t="s">
        <v>51</v>
      </c>
      <c r="C44" s="16" t="s">
        <v>60</v>
      </c>
      <c r="D44" s="16">
        <v>1</v>
      </c>
      <c r="E44" s="16">
        <f>SUMIF('Barang Masuk '!$C$6:$C$1510,B44,'Barang Masuk '!$D$6:$D$1510)</f>
        <v>8</v>
      </c>
      <c r="F44" s="16">
        <f>SUMIF('Barang keluar'!$C$6:$C$1689,B44,'Barang keluar'!$D$6:$D$1689)</f>
        <v>5</v>
      </c>
      <c r="G44" s="16">
        <f t="shared" ref="G44:G51" si="2">D44+E44-F44</f>
        <v>4</v>
      </c>
    </row>
    <row r="45" spans="1:7" ht="16.5" x14ac:dyDescent="0.2">
      <c r="A45" s="8" t="s">
        <v>52</v>
      </c>
      <c r="B45" s="46" t="s">
        <v>218</v>
      </c>
      <c r="C45" s="5" t="s">
        <v>60</v>
      </c>
      <c r="D45" s="5">
        <v>6</v>
      </c>
      <c r="E45" s="5">
        <f>SUMIF('Barang Masuk '!$C$6:$C$1510,B45,'Barang Masuk '!$D$6:$D$1510)</f>
        <v>0</v>
      </c>
      <c r="F45" s="5">
        <f>SUMIF('Barang keluar'!$C$6:$C$1689,B45,'Barang keluar'!$D$6:$D$1689)</f>
        <v>5</v>
      </c>
      <c r="G45" s="5">
        <f t="shared" si="2"/>
        <v>1</v>
      </c>
    </row>
    <row r="46" spans="1:7" ht="20.25" x14ac:dyDescent="0.25">
      <c r="A46" s="89" t="s">
        <v>260</v>
      </c>
      <c r="B46" s="89"/>
      <c r="C46" s="18"/>
      <c r="D46" s="18"/>
      <c r="E46" s="18"/>
      <c r="F46" s="18"/>
    </row>
    <row r="47" spans="1:7" ht="16.5" x14ac:dyDescent="0.2">
      <c r="A47" s="8" t="s">
        <v>234</v>
      </c>
      <c r="B47" s="46" t="s">
        <v>235</v>
      </c>
      <c r="C47" s="5" t="s">
        <v>60</v>
      </c>
      <c r="D47" s="5">
        <v>1</v>
      </c>
      <c r="E47" s="5">
        <f>SUMIF('Barang Masuk '!$C$6:$C$1510,B47,'Barang Masuk '!$D$6:$D$1510)</f>
        <v>5</v>
      </c>
      <c r="F47" s="5">
        <f>SUMIF('Barang keluar'!$C$6:$C$1689,B47,'Barang keluar'!$D$6:$D$1689)</f>
        <v>6</v>
      </c>
      <c r="G47" s="5">
        <f t="shared" si="2"/>
        <v>0</v>
      </c>
    </row>
    <row r="48" spans="1:7" ht="16.5" x14ac:dyDescent="0.2">
      <c r="A48" s="8" t="s">
        <v>233</v>
      </c>
      <c r="B48" s="3" t="s">
        <v>219</v>
      </c>
      <c r="C48" s="15" t="s">
        <v>60</v>
      </c>
      <c r="D48" s="45">
        <v>1</v>
      </c>
      <c r="E48" s="15">
        <f>SUMIF('Barang Masuk '!$C$6:$C$1510,B48,'Barang Masuk '!$D$6:$D$1510)</f>
        <v>2</v>
      </c>
      <c r="F48" s="15">
        <f>SUMIF('Barang keluar'!$C$6:$C$1689,B48,'Barang keluar'!$D$6:$D$1689)</f>
        <v>3</v>
      </c>
      <c r="G48" s="5">
        <f t="shared" si="2"/>
        <v>0</v>
      </c>
    </row>
    <row r="49" spans="1:7" ht="16.5" x14ac:dyDescent="0.2">
      <c r="A49" s="8" t="s">
        <v>223</v>
      </c>
      <c r="B49" s="3" t="s">
        <v>225</v>
      </c>
      <c r="C49" s="5" t="s">
        <v>60</v>
      </c>
      <c r="D49" s="5">
        <v>10</v>
      </c>
      <c r="E49" s="5">
        <f>SUMIF('Barang Masuk '!$C$6:$C$1510,B49,'Barang Masuk '!$D$6:$D$1510)</f>
        <v>27</v>
      </c>
      <c r="F49" s="5">
        <f>SUMIF('Barang keluar'!$C$6:$C$1689,B49,'Barang keluar'!$D$6:$D$1689)</f>
        <v>30</v>
      </c>
      <c r="G49" s="5">
        <f t="shared" si="2"/>
        <v>7</v>
      </c>
    </row>
    <row r="50" spans="1:7" ht="16.5" x14ac:dyDescent="0.2">
      <c r="A50" s="8" t="s">
        <v>229</v>
      </c>
      <c r="B50" s="3" t="s">
        <v>224</v>
      </c>
      <c r="C50" s="5" t="s">
        <v>60</v>
      </c>
      <c r="D50" s="5">
        <v>12</v>
      </c>
      <c r="E50" s="5">
        <f>SUMIF('Barang Masuk '!$C$6:$C$1510,B50,'Barang Masuk '!$D$6:$D$1510)</f>
        <v>43</v>
      </c>
      <c r="F50" s="5">
        <f>SUMIF('Barang keluar'!$C$6:$C$1689,B50,'Barang keluar'!$D$6:$D$1689)</f>
        <v>53</v>
      </c>
      <c r="G50" s="5">
        <f t="shared" si="2"/>
        <v>2</v>
      </c>
    </row>
    <row r="51" spans="1:7" ht="16.5" x14ac:dyDescent="0.2">
      <c r="A51" s="8" t="s">
        <v>226</v>
      </c>
      <c r="B51" s="3" t="s">
        <v>227</v>
      </c>
      <c r="C51" s="5" t="s">
        <v>60</v>
      </c>
      <c r="D51" s="5">
        <v>10</v>
      </c>
      <c r="E51" s="5">
        <f>SUMIF('Barang Masuk '!$C$6:$C$1510,B51,'Barang Masuk '!$D$6:$D$1510)</f>
        <v>60</v>
      </c>
      <c r="F51" s="5">
        <f>SUMIF('Barang keluar'!$C$6:$C$1689,B51,'Barang keluar'!$D$6:$D$1689)</f>
        <v>70</v>
      </c>
      <c r="G51" s="5">
        <f t="shared" si="2"/>
        <v>0</v>
      </c>
    </row>
    <row r="52" spans="1:7" ht="20.25" x14ac:dyDescent="0.25">
      <c r="A52" s="90" t="s">
        <v>77</v>
      </c>
      <c r="B52" s="90"/>
      <c r="C52" s="33"/>
      <c r="E52" s="18"/>
    </row>
    <row r="53" spans="1:7" ht="16.5" x14ac:dyDescent="0.2">
      <c r="A53" s="11" t="s">
        <v>2</v>
      </c>
      <c r="B53" s="11" t="s">
        <v>3</v>
      </c>
      <c r="C53" s="11" t="s">
        <v>58</v>
      </c>
      <c r="D53" s="11" t="s">
        <v>4</v>
      </c>
      <c r="E53" s="11" t="s">
        <v>5</v>
      </c>
      <c r="F53" s="11" t="s">
        <v>6</v>
      </c>
      <c r="G53" s="11" t="s">
        <v>63</v>
      </c>
    </row>
    <row r="54" spans="1:7" ht="16.5" x14ac:dyDescent="0.2">
      <c r="A54" s="8" t="s">
        <v>175</v>
      </c>
      <c r="B54" s="3" t="s">
        <v>176</v>
      </c>
      <c r="C54" s="5" t="s">
        <v>83</v>
      </c>
      <c r="D54" s="5">
        <v>391</v>
      </c>
      <c r="E54" s="5">
        <f>SUMIF('Barang Masuk '!$C$6:$C$1510,B54,'Barang Masuk '!$D$6:$D$1510)</f>
        <v>960</v>
      </c>
      <c r="F54" s="5">
        <f>SUMIF('Barang keluar'!$C$6:$C$1689,B54,'Barang keluar'!$D$6:$D$1689)</f>
        <v>1022</v>
      </c>
      <c r="G54" s="5">
        <f>D54+E54-F54</f>
        <v>329</v>
      </c>
    </row>
    <row r="55" spans="1:7" ht="16.5" x14ac:dyDescent="0.2">
      <c r="A55" s="8" t="s">
        <v>170</v>
      </c>
      <c r="B55" s="3" t="s">
        <v>171</v>
      </c>
      <c r="C55" s="5" t="s">
        <v>172</v>
      </c>
      <c r="D55" s="5">
        <v>6</v>
      </c>
      <c r="E55" s="5">
        <f>SUMIF('Barang Masuk '!$C$6:$C$1510,B55,'Barang Masuk '!$D$6:$D$1510)</f>
        <v>105</v>
      </c>
      <c r="F55" s="5">
        <f>SUMIF('Barang keluar'!$C$6:$C$1689,B55,'Barang keluar'!$D$6:$D$1689)</f>
        <v>96</v>
      </c>
      <c r="G55" s="5">
        <f t="shared" ref="G55:G57" si="3">D55+E55-F55</f>
        <v>15</v>
      </c>
    </row>
    <row r="56" spans="1:7" ht="16.5" x14ac:dyDescent="0.2">
      <c r="A56" s="8" t="s">
        <v>201</v>
      </c>
      <c r="B56" s="3" t="s">
        <v>92</v>
      </c>
      <c r="C56" s="5" t="s">
        <v>86</v>
      </c>
      <c r="D56" s="5">
        <v>27</v>
      </c>
      <c r="E56" s="5">
        <f>SUMIF('Barang Masuk '!$C$6:$C$1510,B56,'Barang Masuk '!$D$6:$D$1510)</f>
        <v>0</v>
      </c>
      <c r="F56" s="5">
        <f>SUMIF('Barang keluar'!$C$6:$C$1689,B56,'Barang keluar'!$D$6:$D$1689)</f>
        <v>24</v>
      </c>
      <c r="G56" s="5">
        <f>D56+E56-F56</f>
        <v>3</v>
      </c>
    </row>
    <row r="57" spans="1:7" ht="16.5" x14ac:dyDescent="0.2">
      <c r="A57" s="8" t="s">
        <v>202</v>
      </c>
      <c r="B57" s="3" t="s">
        <v>93</v>
      </c>
      <c r="C57" s="5" t="s">
        <v>86</v>
      </c>
      <c r="D57" s="5">
        <v>17</v>
      </c>
      <c r="E57" s="5">
        <f>SUMIF('Barang Masuk '!$C$6:$C$1510,B57,'Barang Masuk '!$D$6:$D$1510)</f>
        <v>0</v>
      </c>
      <c r="F57" s="5">
        <f>SUMIF('Barang keluar'!$C$6:$C$1689,B57,'Barang keluar'!$D$6:$D$1689)</f>
        <v>3</v>
      </c>
      <c r="G57" s="5">
        <f t="shared" si="3"/>
        <v>14</v>
      </c>
    </row>
    <row r="58" spans="1:7" ht="16.5" x14ac:dyDescent="0.2">
      <c r="A58" s="8" t="s">
        <v>86</v>
      </c>
      <c r="B58" s="3" t="s">
        <v>85</v>
      </c>
      <c r="C58" s="5" t="s">
        <v>86</v>
      </c>
      <c r="D58" s="5">
        <v>10</v>
      </c>
      <c r="E58" s="5">
        <f>SUMIF('Barang Masuk '!$C$6:$C$1510,B58,'Barang Masuk '!$D$6:$D$1510)</f>
        <v>0</v>
      </c>
      <c r="F58" s="5">
        <f>SUMIF('Barang keluar'!$C$6:$C$1689,B58,'Barang keluar'!$D$6:$D$1689)</f>
        <v>1</v>
      </c>
      <c r="G58" s="5">
        <f>D58+E58-F58</f>
        <v>9</v>
      </c>
    </row>
    <row r="59" spans="1:7" ht="16.5" x14ac:dyDescent="0.2">
      <c r="A59" s="8" t="s">
        <v>203</v>
      </c>
      <c r="B59" s="3" t="s">
        <v>94</v>
      </c>
      <c r="C59" s="5" t="s">
        <v>74</v>
      </c>
      <c r="D59" s="5">
        <v>3</v>
      </c>
      <c r="E59" s="5">
        <f>SUMIF('Barang Masuk '!$C$6:$C$1510,B59,'Barang Masuk '!$D$6:$D$1510)</f>
        <v>7</v>
      </c>
      <c r="F59" s="5">
        <f>SUMIF('Barang keluar'!$C$6:$C$1689,B59,'Barang keluar'!$D$6:$D$1689)</f>
        <v>7</v>
      </c>
      <c r="G59" s="5">
        <f>D59+E59-F59</f>
        <v>3</v>
      </c>
    </row>
    <row r="60" spans="1:7" ht="16.5" x14ac:dyDescent="0.2">
      <c r="A60" s="8" t="s">
        <v>78</v>
      </c>
      <c r="B60" s="3" t="s">
        <v>79</v>
      </c>
      <c r="C60" s="5" t="s">
        <v>80</v>
      </c>
      <c r="D60" s="5">
        <v>1</v>
      </c>
      <c r="E60" s="5">
        <f>SUMIF('Barang Masuk '!$C$6:$C$1510,B60,'Barang Masuk '!$D$6:$D$1510)</f>
        <v>0</v>
      </c>
      <c r="F60" s="5">
        <f>SUMIF('Barang keluar'!$C$6:$C$1689,B60,'Barang keluar'!$D$6:$D$1689)</f>
        <v>0</v>
      </c>
      <c r="G60" s="5">
        <f>D60+E60-F60</f>
        <v>1</v>
      </c>
    </row>
    <row r="61" spans="1:7" ht="16.5" x14ac:dyDescent="0.2">
      <c r="A61" s="8" t="s">
        <v>196</v>
      </c>
      <c r="B61" s="3" t="s">
        <v>81</v>
      </c>
      <c r="C61" s="5" t="s">
        <v>83</v>
      </c>
      <c r="D61" s="5">
        <v>1</v>
      </c>
      <c r="E61" s="5">
        <f>SUMIF('Barang Masuk '!$C$6:$C$1510,B61,'Barang Masuk '!$D$6:$D$1510)</f>
        <v>1</v>
      </c>
      <c r="F61" s="5">
        <f>SUMIF('Barang keluar'!$C$6:$C$1689,B61,'Barang keluar'!$D$6:$D$1689)</f>
        <v>1</v>
      </c>
      <c r="G61" s="5">
        <f t="shared" ref="G61:G68" si="4">D61+E61-F61</f>
        <v>1</v>
      </c>
    </row>
    <row r="62" spans="1:7" ht="16.5" x14ac:dyDescent="0.2">
      <c r="A62" s="8" t="s">
        <v>197</v>
      </c>
      <c r="B62" s="3" t="s">
        <v>82</v>
      </c>
      <c r="C62" s="5" t="s">
        <v>83</v>
      </c>
      <c r="D62" s="5">
        <v>2</v>
      </c>
      <c r="E62" s="5">
        <f>SUMIF('Barang Masuk '!$C$6:$C$1510,B62,'Barang Masuk '!$D$6:$D$1510)</f>
        <v>1</v>
      </c>
      <c r="F62" s="5">
        <f>SUMIF('Barang keluar'!$C$6:$C$1689,B62,'Barang keluar'!$D$6:$D$1689)</f>
        <v>1</v>
      </c>
      <c r="G62" s="5">
        <f t="shared" si="4"/>
        <v>2</v>
      </c>
    </row>
    <row r="63" spans="1:7" ht="16.5" x14ac:dyDescent="0.2">
      <c r="A63" s="8" t="s">
        <v>198</v>
      </c>
      <c r="B63" s="3" t="s">
        <v>84</v>
      </c>
      <c r="C63" s="5" t="s">
        <v>83</v>
      </c>
      <c r="D63" s="5">
        <v>1</v>
      </c>
      <c r="E63" s="5">
        <f>SUMIF('Barang Masuk '!$C$6:$C$1510,B63,'Barang Masuk '!$D$6:$D$1510)</f>
        <v>2</v>
      </c>
      <c r="F63" s="5">
        <f>SUMIF('Barang keluar'!$C$6:$C$1689,B63,'Barang keluar'!$D$6:$D$1689)</f>
        <v>1</v>
      </c>
      <c r="G63" s="5">
        <f t="shared" si="4"/>
        <v>2</v>
      </c>
    </row>
    <row r="64" spans="1:7" ht="16.5" x14ac:dyDescent="0.2">
      <c r="A64" s="8" t="s">
        <v>246</v>
      </c>
      <c r="B64" s="3" t="s">
        <v>247</v>
      </c>
      <c r="C64" s="5" t="s">
        <v>83</v>
      </c>
      <c r="D64" s="5">
        <v>1</v>
      </c>
      <c r="E64" s="5">
        <f>SUMIF('Barang Masuk '!$C$6:$C$1510,B64,'Barang Masuk '!$D$6:$D$1510)</f>
        <v>1</v>
      </c>
      <c r="F64" s="5">
        <f>SUMIF('Barang keluar'!$C$6:$C$1689,B64,'Barang keluar'!$D$6:$D$1689)</f>
        <v>1</v>
      </c>
      <c r="G64" s="5">
        <f t="shared" si="4"/>
        <v>1</v>
      </c>
    </row>
    <row r="65" spans="1:8" ht="16.5" x14ac:dyDescent="0.2">
      <c r="A65" s="8" t="s">
        <v>199</v>
      </c>
      <c r="B65" s="3" t="s">
        <v>87</v>
      </c>
      <c r="C65" s="5" t="s">
        <v>60</v>
      </c>
      <c r="D65" s="5">
        <v>3</v>
      </c>
      <c r="E65" s="5">
        <f>SUMIF('Barang Masuk '!$C$6:$C$1510,B65,'Barang Masuk '!$D$6:$D$1510)</f>
        <v>0</v>
      </c>
      <c r="F65" s="5">
        <f>SUMIF('Barang keluar'!$C$6:$C$1689,B65,'Barang keluar'!$D$6:$D$1689)</f>
        <v>2</v>
      </c>
      <c r="G65" s="5">
        <f t="shared" si="4"/>
        <v>1</v>
      </c>
    </row>
    <row r="66" spans="1:8" ht="16.5" x14ac:dyDescent="0.2">
      <c r="A66" s="8" t="s">
        <v>200</v>
      </c>
      <c r="B66" s="3" t="s">
        <v>89</v>
      </c>
      <c r="C66" s="5" t="s">
        <v>88</v>
      </c>
      <c r="D66" s="5">
        <v>3</v>
      </c>
      <c r="E66" s="16">
        <f>SUMIF('Barang Masuk '!$C$6:$C$1510,B66,'Barang Masuk '!$D$6:$D$1510)</f>
        <v>0</v>
      </c>
      <c r="F66" s="5">
        <f>SUMIF('Barang keluar'!$C$6:$C$1689,B66,'Barang keluar'!$D$6:$D$1689)</f>
        <v>1</v>
      </c>
      <c r="G66" s="5">
        <f t="shared" si="4"/>
        <v>2</v>
      </c>
    </row>
    <row r="67" spans="1:8" ht="16.5" x14ac:dyDescent="0.2">
      <c r="A67" s="8" t="s">
        <v>95</v>
      </c>
      <c r="B67" s="3" t="s">
        <v>95</v>
      </c>
      <c r="C67" s="5" t="s">
        <v>88</v>
      </c>
      <c r="D67" s="19">
        <v>2</v>
      </c>
      <c r="E67" s="5">
        <f>SUMIF('Barang Masuk '!$C$6:$C$1510,B67,'Barang Masuk '!$D$6:$D$1510)</f>
        <v>1</v>
      </c>
      <c r="F67" s="52">
        <f>SUMIF('Barang keluar'!$C$6:$C$1689,B67,'Barang keluar'!$D$6:$D$1689)</f>
        <v>3</v>
      </c>
      <c r="G67" s="5">
        <f>D67+E67-F67</f>
        <v>0</v>
      </c>
    </row>
    <row r="68" spans="1:8" ht="16.5" x14ac:dyDescent="0.2">
      <c r="A68" s="8" t="s">
        <v>90</v>
      </c>
      <c r="B68" s="3" t="s">
        <v>91</v>
      </c>
      <c r="C68" s="5" t="s">
        <v>88</v>
      </c>
      <c r="D68" s="5">
        <v>1</v>
      </c>
      <c r="E68" s="15">
        <f>SUMIF('Barang Masuk '!$C$6:$C$1510,B68,'Barang Masuk '!$D$6:$D$1510)</f>
        <v>2</v>
      </c>
      <c r="F68" s="5">
        <f>SUMIF('Barang keluar'!$C$6:$C$1689,B68,'Barang keluar'!$D$6:$D$1689)</f>
        <v>0</v>
      </c>
      <c r="G68" s="5">
        <f t="shared" si="4"/>
        <v>3</v>
      </c>
    </row>
    <row r="69" spans="1:8" ht="20.25" x14ac:dyDescent="0.25">
      <c r="A69" s="91" t="s">
        <v>64</v>
      </c>
      <c r="B69" s="91"/>
      <c r="C69" s="91"/>
      <c r="E69" s="18"/>
    </row>
    <row r="70" spans="1:8" ht="16.5" x14ac:dyDescent="0.2">
      <c r="A70" s="10" t="s">
        <v>2</v>
      </c>
      <c r="B70" s="10" t="s">
        <v>3</v>
      </c>
      <c r="C70" s="10" t="s">
        <v>58</v>
      </c>
      <c r="D70" s="10" t="s">
        <v>4</v>
      </c>
      <c r="E70" s="10" t="s">
        <v>5</v>
      </c>
      <c r="F70" s="10" t="s">
        <v>6</v>
      </c>
      <c r="G70" s="10" t="s">
        <v>63</v>
      </c>
      <c r="H70" s="37"/>
    </row>
    <row r="71" spans="1:8" ht="16.5" x14ac:dyDescent="0.2">
      <c r="A71" s="8" t="s">
        <v>65</v>
      </c>
      <c r="B71" s="3" t="s">
        <v>66</v>
      </c>
      <c r="C71" s="5" t="s">
        <v>74</v>
      </c>
      <c r="D71" s="5">
        <v>18</v>
      </c>
      <c r="E71" s="5">
        <f>SUMIF('Barang Masuk '!$C$6:$C$1510,B71,'Barang Masuk '!$D$6:$D$1510)</f>
        <v>0</v>
      </c>
      <c r="F71" s="5">
        <f>SUMIF('Barang keluar'!$C$6:$C$1688,B71,'Barang keluar'!$D$6:$D$1688)</f>
        <v>16</v>
      </c>
      <c r="G71" s="5">
        <f>D71+E71-F71</f>
        <v>2</v>
      </c>
      <c r="H71" s="37"/>
    </row>
    <row r="72" spans="1:8" ht="16.5" x14ac:dyDescent="0.2">
      <c r="A72" s="8" t="s">
        <v>191</v>
      </c>
      <c r="B72" s="3" t="s">
        <v>67</v>
      </c>
      <c r="C72" s="5" t="s">
        <v>74</v>
      </c>
      <c r="D72" s="5">
        <v>14</v>
      </c>
      <c r="E72" s="5">
        <f>SUMIF('Barang Masuk '!$C$6:$C$1510,B72,'Barang Masuk '!$D$6:$D$1510)</f>
        <v>0</v>
      </c>
      <c r="F72" s="5">
        <f>SUMIF('Barang keluar'!$C$6:$C$1688,B72,'Barang keluar'!$D$6:$D$1688)</f>
        <v>3</v>
      </c>
      <c r="G72" s="5">
        <f t="shared" ref="G72:G80" si="5">D72+E72-F72</f>
        <v>11</v>
      </c>
      <c r="H72" s="37"/>
    </row>
    <row r="73" spans="1:8" ht="16.5" x14ac:dyDescent="0.2">
      <c r="A73" s="8" t="s">
        <v>189</v>
      </c>
      <c r="B73" s="3" t="s">
        <v>173</v>
      </c>
      <c r="C73" s="5" t="s">
        <v>86</v>
      </c>
      <c r="D73" s="5">
        <v>8</v>
      </c>
      <c r="E73" s="5">
        <f>SUMIF('Barang Masuk '!$C$6:$C$1510,B73,'Barang Masuk '!$D$6:$D$1510)</f>
        <v>13</v>
      </c>
      <c r="F73" s="5">
        <f>SUMIF('Barang keluar'!$C$6:$C$1688,B73,'Barang keluar'!$D$6:$D$1688)</f>
        <v>14</v>
      </c>
      <c r="G73" s="5">
        <f>D73+E73-F73</f>
        <v>7</v>
      </c>
      <c r="H73" s="37"/>
    </row>
    <row r="74" spans="1:8" ht="16.5" x14ac:dyDescent="0.2">
      <c r="A74" s="8" t="s">
        <v>70</v>
      </c>
      <c r="B74" s="3" t="s">
        <v>69</v>
      </c>
      <c r="C74" s="5" t="s">
        <v>74</v>
      </c>
      <c r="D74" s="5">
        <v>7</v>
      </c>
      <c r="E74" s="5">
        <f>SUMIF('Barang Masuk '!$C$6:$C$1510,B74,'Barang Masuk '!$D$6:$D$1510)</f>
        <v>18</v>
      </c>
      <c r="F74" s="5">
        <f>SUMIF('Barang keluar'!$C$6:$C$1688,B74,'Barang keluar'!$D$6:$D$1688)</f>
        <v>18</v>
      </c>
      <c r="G74" s="5">
        <f>D74+E74-F74</f>
        <v>7</v>
      </c>
      <c r="H74" s="37"/>
    </row>
    <row r="75" spans="1:8" ht="16.5" x14ac:dyDescent="0.2">
      <c r="A75" s="8" t="s">
        <v>193</v>
      </c>
      <c r="B75" s="3" t="s">
        <v>72</v>
      </c>
      <c r="C75" s="5" t="s">
        <v>74</v>
      </c>
      <c r="D75" s="5">
        <v>5</v>
      </c>
      <c r="E75" s="5">
        <f>SUMIF('Barang Masuk '!$C$6:$C$1510,B75,'Barang Masuk '!$D$6:$D$1510)</f>
        <v>0</v>
      </c>
      <c r="F75" s="5">
        <f>SUMIF('Barang keluar'!$C$6:$C$1688,B75,'Barang keluar'!$D$6:$D$1688)</f>
        <v>3</v>
      </c>
      <c r="G75" s="5">
        <f>D75+E75-F75</f>
        <v>2</v>
      </c>
      <c r="H75" s="37"/>
    </row>
    <row r="76" spans="1:8" ht="16.5" x14ac:dyDescent="0.2">
      <c r="A76" s="8" t="s">
        <v>194</v>
      </c>
      <c r="B76" s="3" t="s">
        <v>75</v>
      </c>
      <c r="C76" s="5" t="s">
        <v>74</v>
      </c>
      <c r="D76" s="5">
        <v>6</v>
      </c>
      <c r="E76" s="5">
        <f>SUMIF('Barang Masuk '!$C$6:$C$1510,B76,'Barang Masuk '!$D$6:$D$1510)</f>
        <v>0</v>
      </c>
      <c r="F76" s="5">
        <f>SUMIF('Barang keluar'!$C$6:$C$1688,B76,'Barang keluar'!$D$6:$D$1688)</f>
        <v>3</v>
      </c>
      <c r="G76" s="5">
        <f>D76+E76-F76</f>
        <v>3</v>
      </c>
      <c r="H76" s="37"/>
    </row>
    <row r="77" spans="1:8" ht="16.5" x14ac:dyDescent="0.2">
      <c r="A77" s="8" t="s">
        <v>190</v>
      </c>
      <c r="B77" s="3" t="s">
        <v>68</v>
      </c>
      <c r="C77" s="5" t="s">
        <v>74</v>
      </c>
      <c r="D77" s="5">
        <v>3</v>
      </c>
      <c r="E77" s="5">
        <f>SUMIF('Barang Masuk '!$C$6:$C$1510,B77,'Barang Masuk '!$D$6:$D$1510)</f>
        <v>10</v>
      </c>
      <c r="F77" s="5">
        <f>SUMIF('Barang keluar'!$C$6:$C$1688,B77,'Barang keluar'!$D$6:$D$1688)</f>
        <v>5</v>
      </c>
      <c r="G77" s="5">
        <f t="shared" si="5"/>
        <v>8</v>
      </c>
      <c r="H77" s="37"/>
    </row>
    <row r="78" spans="1:8" ht="16.5" x14ac:dyDescent="0.2">
      <c r="A78" s="8" t="s">
        <v>192</v>
      </c>
      <c r="B78" s="3" t="s">
        <v>71</v>
      </c>
      <c r="C78" s="5" t="s">
        <v>74</v>
      </c>
      <c r="D78" s="5">
        <v>1</v>
      </c>
      <c r="E78" s="5">
        <f>SUMIF('Barang Masuk '!$C$6:$C$1510,B78,'Barang Masuk '!$D$6:$D$1510)</f>
        <v>6</v>
      </c>
      <c r="F78" s="5">
        <f>SUMIF('Barang keluar'!$C$6:$C$1688,B78,'Barang keluar'!$D$6:$D$1688)</f>
        <v>5</v>
      </c>
      <c r="G78" s="5">
        <f t="shared" si="5"/>
        <v>2</v>
      </c>
      <c r="H78" s="37"/>
    </row>
    <row r="79" spans="1:8" ht="16.5" x14ac:dyDescent="0.2">
      <c r="A79" s="8" t="s">
        <v>73</v>
      </c>
      <c r="B79" s="3" t="s">
        <v>73</v>
      </c>
      <c r="C79" s="5" t="s">
        <v>74</v>
      </c>
      <c r="D79" s="5">
        <v>1</v>
      </c>
      <c r="E79" s="5">
        <f>SUMIF('Barang Masuk '!$C$6:$C$1510,B79,'Barang Masuk '!$D$6:$D$1510)</f>
        <v>3</v>
      </c>
      <c r="F79" s="5">
        <f>SUMIF('Barang keluar'!$C$6:$C$1688,B79,'Barang keluar'!$D$6:$D$1688)</f>
        <v>2</v>
      </c>
      <c r="G79" s="5">
        <f t="shared" si="5"/>
        <v>2</v>
      </c>
      <c r="H79" s="37"/>
    </row>
    <row r="80" spans="1:8" ht="16.5" x14ac:dyDescent="0.2">
      <c r="A80" s="8" t="s">
        <v>195</v>
      </c>
      <c r="B80" s="3" t="s">
        <v>76</v>
      </c>
      <c r="C80" s="5" t="s">
        <v>74</v>
      </c>
      <c r="D80" s="5">
        <v>4</v>
      </c>
      <c r="E80" s="5">
        <f>SUMIF('Barang Masuk '!$C$6:$C$1510,B80,'Barang Masuk '!$D$6:$D$1510)</f>
        <v>2</v>
      </c>
      <c r="F80" s="5">
        <f>SUMIF('Barang keluar'!$C$6:$C$1688,B80,'Barang keluar'!$D$6:$D$1688)</f>
        <v>4</v>
      </c>
      <c r="G80" s="5">
        <f t="shared" si="5"/>
        <v>2</v>
      </c>
      <c r="H80" s="37"/>
    </row>
    <row r="81" spans="1:8" ht="16.5" x14ac:dyDescent="0.2">
      <c r="A81" s="8" t="s">
        <v>249</v>
      </c>
      <c r="B81" s="3" t="s">
        <v>250</v>
      </c>
      <c r="C81" s="5" t="s">
        <v>74</v>
      </c>
      <c r="D81" s="5">
        <v>1</v>
      </c>
      <c r="E81" s="5">
        <f>SUMIF('Barang Masuk '!$C$6:$C$1510,B81,'Barang Masuk '!$D$6:$D$1510)</f>
        <v>12</v>
      </c>
      <c r="F81" s="5">
        <f>SUMIF('Barang keluar'!$C$6:$C$1688,B81,'Barang keluar'!$D$6:$D$1688)</f>
        <v>8</v>
      </c>
      <c r="G81" s="5">
        <f t="shared" ref="G81:G82" si="6">D81+E81-F81</f>
        <v>5</v>
      </c>
      <c r="H81" s="37"/>
    </row>
    <row r="82" spans="1:8" ht="16.5" x14ac:dyDescent="0.2">
      <c r="A82" s="8" t="s">
        <v>254</v>
      </c>
      <c r="B82" s="3" t="s">
        <v>253</v>
      </c>
      <c r="C82" s="5" t="s">
        <v>74</v>
      </c>
      <c r="D82" s="5">
        <v>6</v>
      </c>
      <c r="E82" s="5">
        <f>SUMIF('Barang Masuk '!$C$6:$C$1510,B82,'Barang Masuk '!$D$6:$D$1510)</f>
        <v>12</v>
      </c>
      <c r="F82" s="5">
        <f>SUMIF('Barang keluar'!$C$6:$C$1688,B82,'Barang keluar'!$D$6:$D$1688)</f>
        <v>12</v>
      </c>
      <c r="G82" s="5">
        <f t="shared" si="6"/>
        <v>6</v>
      </c>
      <c r="H82" s="37"/>
    </row>
    <row r="83" spans="1:8" ht="20.25" x14ac:dyDescent="0.25">
      <c r="A83" s="85" t="s">
        <v>96</v>
      </c>
      <c r="B83" s="85"/>
      <c r="C83" s="9"/>
      <c r="E83" s="18"/>
    </row>
    <row r="84" spans="1:8" ht="16.5" x14ac:dyDescent="0.2">
      <c r="A84" s="12" t="s">
        <v>2</v>
      </c>
      <c r="B84" s="12" t="s">
        <v>3</v>
      </c>
      <c r="C84" s="12" t="s">
        <v>58</v>
      </c>
      <c r="D84" s="12" t="s">
        <v>4</v>
      </c>
      <c r="E84" s="12" t="s">
        <v>5</v>
      </c>
      <c r="F84" s="12" t="s">
        <v>6</v>
      </c>
      <c r="G84" s="12" t="s">
        <v>63</v>
      </c>
    </row>
    <row r="85" spans="1:8" ht="16.5" x14ac:dyDescent="0.2">
      <c r="A85" s="8" t="s">
        <v>204</v>
      </c>
      <c r="B85" s="3" t="s">
        <v>97</v>
      </c>
      <c r="C85" s="5" t="s">
        <v>88</v>
      </c>
      <c r="D85" s="5">
        <v>10</v>
      </c>
      <c r="E85" s="5">
        <f>SUMIF('Barang Masuk '!$C$6:$C$1510,B85,'Barang Masuk '!$D$6:$D$1510)</f>
        <v>30</v>
      </c>
      <c r="F85" s="5">
        <f>SUMIF('Barang keluar'!$C$6:$C$1682,B85,'Barang keluar'!$D$6:$D$1682)</f>
        <v>22</v>
      </c>
      <c r="G85" s="5">
        <f>D85+E85-F85</f>
        <v>18</v>
      </c>
      <c r="H85" s="38"/>
    </row>
    <row r="86" spans="1:8" ht="16.5" x14ac:dyDescent="0.2">
      <c r="A86" s="8" t="s">
        <v>206</v>
      </c>
      <c r="B86" s="3" t="s">
        <v>99</v>
      </c>
      <c r="C86" s="5" t="s">
        <v>60</v>
      </c>
      <c r="D86" s="5">
        <v>7</v>
      </c>
      <c r="E86" s="5">
        <f>SUMIF('Barang Masuk '!$C$6:$C$1510,B86,'Barang Masuk '!$D$6:$D$1510)</f>
        <v>0</v>
      </c>
      <c r="F86" s="5">
        <f>SUMIF('Barang keluar'!$C$6:$C$1682,B86,'Barang keluar'!$D$6:$D$1682)</f>
        <v>2</v>
      </c>
      <c r="G86" s="5">
        <f t="shared" ref="G86:G89" si="7">D86+E86-F86</f>
        <v>5</v>
      </c>
      <c r="H86" s="38"/>
    </row>
    <row r="87" spans="1:8" ht="16.5" x14ac:dyDescent="0.2">
      <c r="A87" s="8" t="s">
        <v>102</v>
      </c>
      <c r="B87" s="3" t="s">
        <v>101</v>
      </c>
      <c r="C87" s="5" t="s">
        <v>88</v>
      </c>
      <c r="D87" s="5">
        <v>24</v>
      </c>
      <c r="E87" s="5">
        <f>SUMIF('Barang Masuk '!$C$6:$C$1510,B87,'Barang Masuk '!$D$6:$D$1510)</f>
        <v>30</v>
      </c>
      <c r="F87" s="5">
        <f>SUMIF('Barang keluar'!$C$6:$C$1682,B87,'Barang keluar'!$D$6:$D$1682)</f>
        <v>40</v>
      </c>
      <c r="G87" s="5">
        <f t="shared" si="7"/>
        <v>14</v>
      </c>
      <c r="H87" s="38"/>
    </row>
    <row r="88" spans="1:8" ht="16.5" x14ac:dyDescent="0.2">
      <c r="A88" s="8" t="s">
        <v>103</v>
      </c>
      <c r="B88" s="3" t="s">
        <v>104</v>
      </c>
      <c r="C88" s="5" t="s">
        <v>88</v>
      </c>
      <c r="D88" s="5">
        <v>6</v>
      </c>
      <c r="E88" s="5">
        <f>SUMIF('Barang Masuk '!$C$6:$C$1510,B88,'Barang Masuk '!$D$6:$D$1510)</f>
        <v>12</v>
      </c>
      <c r="F88" s="5">
        <f>SUMIF('Barang keluar'!$C$6:$C$1682,B88,'Barang keluar'!$D$6:$D$1682)</f>
        <v>15</v>
      </c>
      <c r="G88" s="5">
        <f t="shared" si="7"/>
        <v>3</v>
      </c>
      <c r="H88" s="38"/>
    </row>
    <row r="89" spans="1:8" ht="16.5" x14ac:dyDescent="0.2">
      <c r="A89" s="8" t="s">
        <v>174</v>
      </c>
      <c r="B89" s="3" t="s">
        <v>105</v>
      </c>
      <c r="C89" s="5" t="s">
        <v>74</v>
      </c>
      <c r="D89" s="5">
        <v>40</v>
      </c>
      <c r="E89" s="5">
        <f>SUMIF('Barang Masuk '!$C$6:$C$1510,B89,'Barang Masuk '!$D$6:$D$1510)</f>
        <v>80</v>
      </c>
      <c r="F89" s="5">
        <f>SUMIF('Barang keluar'!$C$6:$C$1682,B89,'Barang keluar'!$D$6:$D$1682)</f>
        <v>43</v>
      </c>
      <c r="G89" s="5">
        <f t="shared" si="7"/>
        <v>77</v>
      </c>
      <c r="H89" s="38"/>
    </row>
    <row r="90" spans="1:8" ht="16.5" x14ac:dyDescent="0.2">
      <c r="A90" s="8" t="s">
        <v>205</v>
      </c>
      <c r="B90" s="3" t="s">
        <v>98</v>
      </c>
      <c r="C90" s="5" t="s">
        <v>88</v>
      </c>
      <c r="D90" s="5">
        <v>1</v>
      </c>
      <c r="E90" s="5">
        <f>SUMIF('Barang Masuk '!$C$6:$C$1510,B90,'Barang Masuk '!$D$6:$D$1510)</f>
        <v>2</v>
      </c>
      <c r="F90" s="5">
        <f>SUMIF('Barang keluar'!$C$6:$C$1682,B90,'Barang keluar'!$D$6:$D$1682)</f>
        <v>1</v>
      </c>
      <c r="G90" s="5">
        <f>D90+E90-F90</f>
        <v>2</v>
      </c>
      <c r="H90" s="38"/>
    </row>
    <row r="91" spans="1:8" ht="16.5" x14ac:dyDescent="0.2">
      <c r="A91" s="8" t="s">
        <v>207</v>
      </c>
      <c r="B91" s="3" t="s">
        <v>100</v>
      </c>
      <c r="C91" s="5" t="s">
        <v>88</v>
      </c>
      <c r="D91" s="5">
        <v>1</v>
      </c>
      <c r="E91" s="5">
        <f>SUMIF('Barang Masuk '!$C$6:$C$1510,B91,'Barang Masuk '!$D$6:$D$1510)</f>
        <v>1</v>
      </c>
      <c r="F91" s="5">
        <f>SUMIF('Barang keluar'!$C$6:$C$1682,B91,'Barang keluar'!$D$6:$D$1682)</f>
        <v>1</v>
      </c>
      <c r="G91" s="5">
        <f t="shared" ref="G91:G96" si="8">D91+E91-F91</f>
        <v>1</v>
      </c>
      <c r="H91" s="38"/>
    </row>
    <row r="92" spans="1:8" ht="16.5" x14ac:dyDescent="0.2">
      <c r="A92" s="8" t="s">
        <v>106</v>
      </c>
      <c r="B92" s="3" t="s">
        <v>107</v>
      </c>
      <c r="C92" s="5" t="s">
        <v>83</v>
      </c>
      <c r="D92" s="5">
        <v>2</v>
      </c>
      <c r="E92" s="5">
        <f>SUMIF('Barang Masuk '!$C$6:$C$1510,B92,'Barang Masuk '!$D$6:$D$1510)</f>
        <v>5</v>
      </c>
      <c r="F92" s="5">
        <f>SUMIF('Barang keluar'!$C$6:$C$1682,B92,'Barang keluar'!$D$6:$D$1682)</f>
        <v>5</v>
      </c>
      <c r="G92" s="5">
        <f t="shared" si="8"/>
        <v>2</v>
      </c>
      <c r="H92" s="38"/>
    </row>
    <row r="93" spans="1:8" ht="16.5" x14ac:dyDescent="0.2">
      <c r="A93" s="8" t="s">
        <v>208</v>
      </c>
      <c r="B93" s="3" t="s">
        <v>108</v>
      </c>
      <c r="C93" s="5" t="s">
        <v>83</v>
      </c>
      <c r="D93" s="5">
        <v>3</v>
      </c>
      <c r="E93" s="5">
        <f>SUMIF('Barang Masuk '!$C$6:$C$1510,B93,'Barang Masuk '!$D$6:$D$1510)</f>
        <v>1</v>
      </c>
      <c r="F93" s="5">
        <f>SUMIF('Barang keluar'!$C$6:$C$1682,B93,'Barang keluar'!$D$6:$D$1682)</f>
        <v>2</v>
      </c>
      <c r="G93" s="5">
        <f t="shared" si="8"/>
        <v>2</v>
      </c>
      <c r="H93" s="38"/>
    </row>
    <row r="94" spans="1:8" ht="16.5" x14ac:dyDescent="0.2">
      <c r="A94" s="8" t="s">
        <v>209</v>
      </c>
      <c r="B94" s="3" t="s">
        <v>109</v>
      </c>
      <c r="C94" s="5" t="s">
        <v>83</v>
      </c>
      <c r="D94" s="5">
        <v>2</v>
      </c>
      <c r="E94" s="5">
        <f>SUMIF('Barang Masuk '!$C$6:$C$1510,B94,'Barang Masuk '!$D$6:$D$1510)</f>
        <v>1</v>
      </c>
      <c r="F94" s="5">
        <f>SUMIF('Barang keluar'!$C$6:$C$1682,B94,'Barang keluar'!$D$6:$D$1682)</f>
        <v>2</v>
      </c>
      <c r="G94" s="5">
        <f t="shared" si="8"/>
        <v>1</v>
      </c>
      <c r="H94" s="38"/>
    </row>
    <row r="95" spans="1:8" ht="16.5" x14ac:dyDescent="0.2">
      <c r="A95" s="8" t="s">
        <v>110</v>
      </c>
      <c r="B95" s="3" t="s">
        <v>111</v>
      </c>
      <c r="C95" s="5" t="s">
        <v>88</v>
      </c>
      <c r="D95" s="5">
        <v>7</v>
      </c>
      <c r="E95" s="5">
        <f>SUMIF('Barang Masuk '!$C$6:$C$1510,B95,'Barang Masuk '!$D$6:$D$1510)</f>
        <v>0</v>
      </c>
      <c r="F95" s="5">
        <f>SUMIF('Barang keluar'!$C$6:$C$1682,B95,'Barang keluar'!$D$6:$D$1682)</f>
        <v>1</v>
      </c>
      <c r="G95" s="5">
        <f t="shared" si="8"/>
        <v>6</v>
      </c>
      <c r="H95" s="38"/>
    </row>
    <row r="96" spans="1:8" ht="16.5" x14ac:dyDescent="0.2">
      <c r="A96" s="8" t="s">
        <v>248</v>
      </c>
      <c r="B96" s="3" t="s">
        <v>112</v>
      </c>
      <c r="C96" s="5" t="s">
        <v>88</v>
      </c>
      <c r="D96" s="5">
        <v>8</v>
      </c>
      <c r="E96" s="5">
        <f>SUMIF('Barang Masuk '!$C$6:$C$1510,B96,'Barang Masuk '!$D$6:$D$1510)</f>
        <v>0</v>
      </c>
      <c r="F96" s="5">
        <f>SUMIF('Barang keluar'!$C$6:$C$1682,B96,'Barang keluar'!$D$6:$D$1682)</f>
        <v>1</v>
      </c>
      <c r="G96" s="5">
        <f t="shared" si="8"/>
        <v>7</v>
      </c>
      <c r="H96" s="38"/>
    </row>
    <row r="97" spans="1:8" ht="20.25" x14ac:dyDescent="0.25">
      <c r="A97" s="47" t="s">
        <v>113</v>
      </c>
      <c r="B97" s="47"/>
      <c r="C97" s="41"/>
      <c r="E97" s="5"/>
      <c r="H97" s="38"/>
    </row>
    <row r="98" spans="1:8" ht="16.5" x14ac:dyDescent="0.2">
      <c r="A98" s="13" t="s">
        <v>2</v>
      </c>
      <c r="B98" s="13" t="s">
        <v>3</v>
      </c>
      <c r="C98" s="13" t="s">
        <v>58</v>
      </c>
      <c r="D98" s="13" t="s">
        <v>4</v>
      </c>
      <c r="E98" s="13" t="s">
        <v>5</v>
      </c>
      <c r="F98" s="13" t="s">
        <v>6</v>
      </c>
      <c r="G98" s="13" t="s">
        <v>63</v>
      </c>
      <c r="H98" s="38"/>
    </row>
    <row r="99" spans="1:8" ht="16.5" x14ac:dyDescent="0.2">
      <c r="A99" s="8" t="s">
        <v>186</v>
      </c>
      <c r="B99" s="3" t="s">
        <v>114</v>
      </c>
      <c r="C99" s="5" t="s">
        <v>60</v>
      </c>
      <c r="D99" s="5">
        <v>11</v>
      </c>
      <c r="E99" s="5">
        <f>SUMIF('Barang Masuk '!$C$6:$C$1510,B99,'Barang Masuk '!$D$6:$D$1510)</f>
        <v>0</v>
      </c>
      <c r="F99" s="5">
        <f>SUMIF('Barang keluar'!$C$6:$C$1688,B99,'Barang keluar'!$D$6:$D$1688)</f>
        <v>4</v>
      </c>
      <c r="G99" s="5">
        <f>D99+E99-F99</f>
        <v>7</v>
      </c>
      <c r="H99" s="38"/>
    </row>
    <row r="100" spans="1:8" ht="16.5" x14ac:dyDescent="0.2">
      <c r="A100" s="8" t="s">
        <v>185</v>
      </c>
      <c r="B100" s="3" t="s">
        <v>115</v>
      </c>
      <c r="C100" s="5" t="s">
        <v>60</v>
      </c>
      <c r="D100" s="5">
        <v>1</v>
      </c>
      <c r="E100" s="5">
        <f>SUMIF('Barang Masuk '!$C$6:$C$1510,B100,'Barang Masuk '!$D$6:$D$1510)</f>
        <v>7</v>
      </c>
      <c r="F100" s="5">
        <f>SUMIF('Barang keluar'!$C$6:$C$1688,B100,'Barang keluar'!$D$6:$D$1688)</f>
        <v>0</v>
      </c>
      <c r="G100" s="5">
        <f>D100+E100-F100</f>
        <v>8</v>
      </c>
      <c r="H100" s="38"/>
    </row>
    <row r="101" spans="1:8" ht="16.5" x14ac:dyDescent="0.2">
      <c r="A101" s="8" t="s">
        <v>184</v>
      </c>
      <c r="B101" s="3" t="s">
        <v>116</v>
      </c>
      <c r="C101" s="5" t="s">
        <v>60</v>
      </c>
      <c r="D101" s="5">
        <v>7</v>
      </c>
      <c r="E101" s="5">
        <f>SUMIF('Barang Masuk '!$C$6:$C$1510,B101,'Barang Masuk '!$D$6:$D$1510)</f>
        <v>11</v>
      </c>
      <c r="F101" s="5">
        <f>SUMIF('Barang keluar'!$C$6:$C$1688,B101,'Barang keluar'!$D$6:$D$1688)</f>
        <v>16</v>
      </c>
      <c r="G101" s="5">
        <f>D101+E101-F101</f>
        <v>2</v>
      </c>
      <c r="H101" s="38"/>
    </row>
    <row r="102" spans="1:8" ht="16.5" x14ac:dyDescent="0.2">
      <c r="A102" s="8" t="s">
        <v>266</v>
      </c>
      <c r="B102" s="3" t="s">
        <v>265</v>
      </c>
      <c r="C102" s="5" t="s">
        <v>88</v>
      </c>
      <c r="D102" s="5">
        <v>13</v>
      </c>
      <c r="E102" s="5">
        <f>SUMIF('Barang Masuk '!$C$6:$C$1510,B102,'Barang Masuk '!$D$6:$D$1510)</f>
        <v>13</v>
      </c>
      <c r="F102" s="5">
        <f>SUMIF('Barang keluar'!$C$6:$C$1688,B102,'Barang keluar'!$D$6:$D$1688)</f>
        <v>23</v>
      </c>
      <c r="G102" s="5">
        <f>D102+E102-F102</f>
        <v>3</v>
      </c>
      <c r="H102" s="38"/>
    </row>
    <row r="103" spans="1:8" ht="16.5" x14ac:dyDescent="0.2">
      <c r="A103" s="8" t="s">
        <v>187</v>
      </c>
      <c r="B103" s="3" t="s">
        <v>117</v>
      </c>
      <c r="C103" s="5" t="s">
        <v>60</v>
      </c>
      <c r="D103" s="5">
        <v>5</v>
      </c>
      <c r="E103" s="5">
        <f>SUMIF('Barang Masuk '!$C$6:$C$1510,B103,'Barang Masuk '!$D$6:$D$1510)</f>
        <v>16</v>
      </c>
      <c r="F103" s="5">
        <f>SUMIF('Barang keluar'!$C$6:$C$1688,B103,'Barang keluar'!$D$6:$D$1688)</f>
        <v>11</v>
      </c>
      <c r="G103" s="5">
        <f>D103+E103-F103</f>
        <v>10</v>
      </c>
      <c r="H103" s="38"/>
    </row>
    <row r="104" spans="1:8" ht="16.5" x14ac:dyDescent="0.2">
      <c r="A104" s="8" t="s">
        <v>119</v>
      </c>
      <c r="B104" s="3" t="s">
        <v>120</v>
      </c>
      <c r="C104" s="5" t="s">
        <v>88</v>
      </c>
      <c r="D104" s="5">
        <v>18</v>
      </c>
      <c r="E104" s="5">
        <f>SUMIF('Barang Masuk '!$C$6:$C$1510,B104,'Barang Masuk '!$D$6:$D$1510)</f>
        <v>84</v>
      </c>
      <c r="F104" s="5">
        <f>SUMIF('Barang keluar'!$C$6:$C$1688,B104,'Barang keluar'!$D$6:$D$1688)</f>
        <v>66</v>
      </c>
      <c r="G104" s="5">
        <f>D104+E104-F104</f>
        <v>36</v>
      </c>
      <c r="H104" s="38"/>
    </row>
    <row r="105" spans="1:8" ht="16.5" x14ac:dyDescent="0.2">
      <c r="A105" s="8" t="s">
        <v>188</v>
      </c>
      <c r="B105" s="3" t="s">
        <v>118</v>
      </c>
      <c r="C105" s="5" t="s">
        <v>60</v>
      </c>
      <c r="D105" s="5">
        <v>24</v>
      </c>
      <c r="E105" s="5">
        <f>SUMIF('Barang Masuk '!$C$6:$C$1510,B105,'Barang Masuk '!$D$6:$D$1510)</f>
        <v>0</v>
      </c>
      <c r="F105" s="5">
        <f>SUMIF('Barang keluar'!$C$6:$C$1688,B105,'Barang keluar'!$D$6:$D$1688)</f>
        <v>23</v>
      </c>
      <c r="G105" s="5">
        <f>D105+E105-F105</f>
        <v>1</v>
      </c>
      <c r="H105" s="38"/>
    </row>
    <row r="106" spans="1:8" ht="16.5" x14ac:dyDescent="0.2">
      <c r="A106" s="8" t="s">
        <v>213</v>
      </c>
      <c r="B106" s="3" t="s">
        <v>121</v>
      </c>
      <c r="C106" s="5" t="s">
        <v>88</v>
      </c>
      <c r="D106" s="5">
        <v>18</v>
      </c>
      <c r="E106" s="5">
        <f>SUMIF('Barang Masuk '!$C$6:$C$1510,B106,'Barang Masuk '!$D$6:$D$1510)</f>
        <v>0</v>
      </c>
      <c r="F106" s="5">
        <f>SUMIF('Barang keluar'!$C$6:$C$1688,B106,'Barang keluar'!$D$6:$D$1688)</f>
        <v>6</v>
      </c>
      <c r="G106" s="5">
        <f>D106+E106-F106</f>
        <v>12</v>
      </c>
      <c r="H106" s="38"/>
    </row>
    <row r="107" spans="1:8" ht="16.5" x14ac:dyDescent="0.2">
      <c r="A107" s="8" t="s">
        <v>181</v>
      </c>
      <c r="B107" s="3" t="s">
        <v>122</v>
      </c>
      <c r="C107" s="5" t="s">
        <v>88</v>
      </c>
      <c r="D107" s="5">
        <v>4</v>
      </c>
      <c r="E107" s="5">
        <f>SUMIF('Barang Masuk '!$C$6:$C$1510,B107,'Barang Masuk '!$D$6:$D$1510)</f>
        <v>6</v>
      </c>
      <c r="F107" s="5">
        <f>SUMIF('Barang keluar'!$C$6:$C$1688,B107,'Barang keluar'!$D$6:$D$1688)</f>
        <v>8</v>
      </c>
      <c r="G107" s="5">
        <f>D107+E107-F107</f>
        <v>2</v>
      </c>
      <c r="H107" s="38"/>
    </row>
    <row r="108" spans="1:8" ht="16.5" x14ac:dyDescent="0.2">
      <c r="A108" s="8" t="s">
        <v>210</v>
      </c>
      <c r="B108" s="3" t="s">
        <v>123</v>
      </c>
      <c r="C108" s="5" t="s">
        <v>88</v>
      </c>
      <c r="D108" s="5">
        <v>2</v>
      </c>
      <c r="E108" s="5">
        <f>SUMIF('Barang Masuk '!$C$6:$C$1510,B108,'Barang Masuk '!$D$6:$D$1510)</f>
        <v>2</v>
      </c>
      <c r="F108" s="5">
        <f>SUMIF('Barang keluar'!$C$6:$C$1688,B108,'Barang keluar'!$D$6:$D$1688)</f>
        <v>3</v>
      </c>
      <c r="G108" s="5">
        <f>D108+E108-F108</f>
        <v>1</v>
      </c>
      <c r="H108" s="38"/>
    </row>
    <row r="109" spans="1:8" ht="16.5" x14ac:dyDescent="0.2">
      <c r="A109" s="8" t="s">
        <v>211</v>
      </c>
      <c r="B109" s="3" t="s">
        <v>124</v>
      </c>
      <c r="C109" s="5" t="s">
        <v>126</v>
      </c>
      <c r="D109" s="5">
        <v>11</v>
      </c>
      <c r="E109" s="5">
        <f>SUMIF('Barang Masuk '!$C$6:$C$1510,B109,'Barang Masuk '!$D$6:$D$1510)</f>
        <v>0</v>
      </c>
      <c r="F109" s="5">
        <f>SUMIF('Barang keluar'!$C$6:$C$1688,B109,'Barang keluar'!$D$6:$D$1688)</f>
        <v>2</v>
      </c>
      <c r="G109" s="5">
        <f>D109+E109-F109</f>
        <v>9</v>
      </c>
      <c r="H109" s="38"/>
    </row>
    <row r="110" spans="1:8" ht="16.5" x14ac:dyDescent="0.2">
      <c r="A110" s="8" t="s">
        <v>212</v>
      </c>
      <c r="B110" s="3" t="s">
        <v>125</v>
      </c>
      <c r="C110" s="5" t="s">
        <v>126</v>
      </c>
      <c r="D110" s="5">
        <v>3</v>
      </c>
      <c r="E110" s="5">
        <f>SUMIF('Barang Masuk '!$C$6:$C$1510,B110,'Barang Masuk '!$D$6:$D$1510)</f>
        <v>0</v>
      </c>
      <c r="F110" s="5">
        <f>SUMIF('Barang keluar'!$C$6:$C$1688,B110,'Barang keluar'!$D$6:$D$1688)</f>
        <v>1</v>
      </c>
      <c r="G110" s="5">
        <f>D110+E110-F110</f>
        <v>2</v>
      </c>
      <c r="H110" s="38"/>
    </row>
    <row r="111" spans="1:8" ht="16.5" x14ac:dyDescent="0.2">
      <c r="A111" s="8" t="s">
        <v>127</v>
      </c>
      <c r="B111" s="3" t="s">
        <v>128</v>
      </c>
      <c r="C111" s="5" t="s">
        <v>126</v>
      </c>
      <c r="D111" s="5">
        <v>6</v>
      </c>
      <c r="E111" s="16">
        <f>SUMIF('Barang Masuk '!$C$6:$C$1510,B111,'Barang Masuk '!$D$6:$D$1510)</f>
        <v>12</v>
      </c>
      <c r="F111" s="5">
        <f>SUMIF('Barang keluar'!$C$6:$C$1688,B111,'Barang keluar'!$D$6:$D$1688)</f>
        <v>5</v>
      </c>
      <c r="G111" s="5">
        <f>D111+E111-F111</f>
        <v>13</v>
      </c>
      <c r="H111" s="38"/>
    </row>
    <row r="112" spans="1:8" ht="20.25" x14ac:dyDescent="0.25">
      <c r="A112" s="85" t="s">
        <v>129</v>
      </c>
      <c r="B112" s="85"/>
      <c r="C112" s="9"/>
      <c r="E112" s="20"/>
      <c r="H112" s="38"/>
    </row>
    <row r="113" spans="1:9" ht="16.5" x14ac:dyDescent="0.2">
      <c r="A113" s="14" t="s">
        <v>2</v>
      </c>
      <c r="B113" s="14" t="s">
        <v>3</v>
      </c>
      <c r="C113" s="14" t="s">
        <v>58</v>
      </c>
      <c r="D113" s="14" t="s">
        <v>4</v>
      </c>
      <c r="E113" s="14" t="s">
        <v>5</v>
      </c>
      <c r="F113" s="14" t="s">
        <v>6</v>
      </c>
      <c r="G113" s="14" t="s">
        <v>63</v>
      </c>
      <c r="H113" s="38"/>
    </row>
    <row r="114" spans="1:9" ht="16.5" x14ac:dyDescent="0.2">
      <c r="A114" s="8" t="s">
        <v>130</v>
      </c>
      <c r="B114" s="3" t="s">
        <v>134</v>
      </c>
      <c r="C114" s="5" t="s">
        <v>138</v>
      </c>
      <c r="D114" s="5">
        <v>133</v>
      </c>
      <c r="E114" s="5">
        <f>SUMIF('Barang Masuk '!$C$6:$C$1510,B114,'Barang Masuk '!$D$6:$D$1510)</f>
        <v>0</v>
      </c>
      <c r="F114" s="5">
        <f>SUMIF('Barang keluar'!$C$6:$C$1682,B114,'Barang keluar'!$D$6:$D$1682)</f>
        <v>85</v>
      </c>
      <c r="G114" s="5">
        <f>D114+E114-F114</f>
        <v>48</v>
      </c>
      <c r="H114" s="38"/>
      <c r="I114" s="42" t="s">
        <v>256</v>
      </c>
    </row>
    <row r="115" spans="1:9" ht="16.5" x14ac:dyDescent="0.2">
      <c r="A115" s="8" t="s">
        <v>131</v>
      </c>
      <c r="B115" s="3" t="s">
        <v>135</v>
      </c>
      <c r="C115" s="5" t="s">
        <v>138</v>
      </c>
      <c r="D115" s="5">
        <v>80</v>
      </c>
      <c r="E115" s="5">
        <f>SUMIF('Barang Masuk '!$C$6:$C$1510,B115,'Barang Masuk '!$D$6:$D$1510)</f>
        <v>0</v>
      </c>
      <c r="F115" s="5">
        <f>SUMIF('Barang keluar'!$C$6:$C$1682,B115,'Barang keluar'!$D$6:$D$1682)</f>
        <v>57</v>
      </c>
      <c r="G115" s="5">
        <f>D115+E115-F115</f>
        <v>23</v>
      </c>
      <c r="H115" s="38"/>
      <c r="I115" s="42" t="s">
        <v>256</v>
      </c>
    </row>
    <row r="116" spans="1:9" ht="16.5" x14ac:dyDescent="0.2">
      <c r="A116" s="8" t="s">
        <v>132</v>
      </c>
      <c r="B116" s="3" t="s">
        <v>136</v>
      </c>
      <c r="C116" s="5" t="s">
        <v>138</v>
      </c>
      <c r="D116" s="5">
        <v>71</v>
      </c>
      <c r="E116" s="5">
        <f>SUMIF('Barang Masuk '!$C$6:$C$1510,B116,'Barang Masuk '!$D$6:$D$1510)</f>
        <v>0</v>
      </c>
      <c r="F116" s="5">
        <f>SUMIF('Barang keluar'!$C$6:$C$1682,B116,'Barang keluar'!$D$6:$D$1682)</f>
        <v>40</v>
      </c>
      <c r="G116" s="5">
        <f>D116+E116-F116</f>
        <v>31</v>
      </c>
      <c r="H116" s="38"/>
      <c r="I116" s="42" t="s">
        <v>255</v>
      </c>
    </row>
    <row r="117" spans="1:9" ht="16.5" x14ac:dyDescent="0.2">
      <c r="A117" s="8" t="s">
        <v>133</v>
      </c>
      <c r="B117" s="3" t="s">
        <v>137</v>
      </c>
      <c r="C117" s="5" t="s">
        <v>138</v>
      </c>
      <c r="D117" s="5">
        <v>50</v>
      </c>
      <c r="E117" s="5">
        <f>SUMIF('Barang Masuk '!$C$6:$C$1510,B117,'Barang Masuk '!$D$6:$D$1510)</f>
        <v>0</v>
      </c>
      <c r="F117" s="5">
        <f>SUMIF('Barang keluar'!$C$6:$C$1682,B117,'Barang keluar'!$D$6:$D$1682)</f>
        <v>32</v>
      </c>
      <c r="G117" s="5">
        <f>D117+E117-F117</f>
        <v>18</v>
      </c>
      <c r="H117" s="38"/>
      <c r="I117" s="42" t="s">
        <v>257</v>
      </c>
    </row>
    <row r="118" spans="1:9" ht="16.5" x14ac:dyDescent="0.2">
      <c r="A118" s="8" t="s">
        <v>217</v>
      </c>
      <c r="B118" s="3" t="s">
        <v>139</v>
      </c>
      <c r="C118" s="5" t="s">
        <v>140</v>
      </c>
      <c r="D118" s="5">
        <v>188</v>
      </c>
      <c r="E118" s="5">
        <f>SUMIF('Barang Masuk '!$C$6:$C$1510,B118,'Barang Masuk '!$D$6:$D$1510)</f>
        <v>0</v>
      </c>
      <c r="F118" s="5">
        <f>SUMIF('Barang keluar'!$C$6:$C$1682,B118,'Barang keluar'!$D$6:$D$1682)</f>
        <v>64</v>
      </c>
      <c r="G118" s="5">
        <f>D118+E118-F118</f>
        <v>124</v>
      </c>
      <c r="H118" s="38"/>
    </row>
    <row r="119" spans="1:9" ht="16.5" x14ac:dyDescent="0.2">
      <c r="A119" s="8" t="s">
        <v>164</v>
      </c>
      <c r="B119" s="3" t="s">
        <v>165</v>
      </c>
      <c r="C119" s="5" t="s">
        <v>74</v>
      </c>
      <c r="D119" s="5">
        <v>157</v>
      </c>
      <c r="E119" s="5">
        <f>SUMIF('Barang Masuk '!$C$6:$C$1510,B119,'Barang Masuk '!$D$6:$D$1510)</f>
        <v>0</v>
      </c>
      <c r="F119" s="5">
        <f>SUMIF('Barang keluar'!$C$6:$C$1682,B119,'Barang keluar'!$D$6:$D$1682)</f>
        <v>106</v>
      </c>
      <c r="G119" s="5">
        <f>D119+E119-F119</f>
        <v>51</v>
      </c>
      <c r="H119" s="38"/>
    </row>
    <row r="120" spans="1:9" ht="16.5" x14ac:dyDescent="0.2">
      <c r="A120" s="8" t="s">
        <v>215</v>
      </c>
      <c r="B120" s="3" t="s">
        <v>141</v>
      </c>
      <c r="C120" s="5" t="s">
        <v>60</v>
      </c>
      <c r="D120" s="5">
        <v>14</v>
      </c>
      <c r="E120" s="5">
        <f>SUMIF('Barang Masuk '!$C$6:$C$1510,B120,'Barang Masuk '!$D$6:$D$1510)</f>
        <v>0</v>
      </c>
      <c r="F120" s="5">
        <f>SUMIF('Barang keluar'!$C$6:$C$1682,B120,'Barang keluar'!$D$6:$D$1682)</f>
        <v>8</v>
      </c>
      <c r="G120" s="5">
        <f>D120+E120-F120</f>
        <v>6</v>
      </c>
      <c r="H120" s="38"/>
    </row>
    <row r="121" spans="1:9" ht="16.5" x14ac:dyDescent="0.2">
      <c r="A121" s="8" t="s">
        <v>222</v>
      </c>
      <c r="B121" s="3" t="s">
        <v>245</v>
      </c>
      <c r="C121" s="5" t="s">
        <v>88</v>
      </c>
      <c r="D121" s="5">
        <v>1</v>
      </c>
      <c r="E121" s="5">
        <f>SUMIF('Barang Masuk '!$C$6:$C$1510,B121,'Barang Masuk '!$D$6:$D$1510)</f>
        <v>23</v>
      </c>
      <c r="F121" s="5">
        <f>SUMIF('Barang keluar'!$C$6:$C$1682,B121,'Barang keluar'!$D$6:$D$1682)</f>
        <v>11</v>
      </c>
      <c r="G121" s="5">
        <f>D121+E121-F121</f>
        <v>13</v>
      </c>
      <c r="H121" s="38"/>
    </row>
    <row r="122" spans="1:9" ht="16.5" x14ac:dyDescent="0.2">
      <c r="A122" s="8" t="s">
        <v>148</v>
      </c>
      <c r="B122" s="3" t="s">
        <v>149</v>
      </c>
      <c r="C122" s="5" t="s">
        <v>88</v>
      </c>
      <c r="D122" s="5">
        <v>3</v>
      </c>
      <c r="E122" s="5">
        <f>SUMIF('Barang Masuk '!$C$6:$C$1510,B122,'Barang Masuk '!$D$6:$D$1510)</f>
        <v>12</v>
      </c>
      <c r="F122" s="5">
        <f>SUMIF('Barang keluar'!$C$6:$C$1682,B122,'Barang keluar'!$D$6:$D$1682)</f>
        <v>11</v>
      </c>
      <c r="G122" s="5">
        <f>D122+E122-F122</f>
        <v>4</v>
      </c>
      <c r="H122" s="38"/>
    </row>
    <row r="123" spans="1:9" ht="16.5" x14ac:dyDescent="0.2">
      <c r="A123" s="8" t="s">
        <v>150</v>
      </c>
      <c r="B123" s="3" t="s">
        <v>151</v>
      </c>
      <c r="C123" s="5" t="s">
        <v>88</v>
      </c>
      <c r="D123" s="5">
        <v>7</v>
      </c>
      <c r="E123" s="5">
        <f>SUMIF('Barang Masuk '!$C$6:$C$1510,B123,'Barang Masuk '!$D$6:$D$1510)</f>
        <v>40</v>
      </c>
      <c r="F123" s="5">
        <f>SUMIF('Barang keluar'!$C$6:$C$1682,B123,'Barang keluar'!$D$6:$D$1682)</f>
        <v>40</v>
      </c>
      <c r="G123" s="5">
        <f>D123+E123-F123</f>
        <v>7</v>
      </c>
      <c r="H123" s="38"/>
    </row>
    <row r="124" spans="1:9" ht="16.5" x14ac:dyDescent="0.2">
      <c r="A124" s="8" t="s">
        <v>160</v>
      </c>
      <c r="B124" s="3" t="s">
        <v>161</v>
      </c>
      <c r="C124" s="5" t="s">
        <v>88</v>
      </c>
      <c r="D124" s="5">
        <v>1</v>
      </c>
      <c r="E124" s="5">
        <f>SUMIF('Barang Masuk '!$C$6:$C$1510,B124,'Barang Masuk '!$D$6:$D$1510)</f>
        <v>10</v>
      </c>
      <c r="F124" s="5">
        <f>SUMIF('Barang keluar'!$C$6:$C$1682,B124,'Barang keluar'!$D$6:$D$1682)</f>
        <v>4</v>
      </c>
      <c r="G124" s="5">
        <f>D124+E124-F124</f>
        <v>7</v>
      </c>
      <c r="H124" s="38"/>
    </row>
    <row r="125" spans="1:9" ht="16.5" x14ac:dyDescent="0.2">
      <c r="A125" s="8" t="s">
        <v>156</v>
      </c>
      <c r="B125" s="3" t="s">
        <v>157</v>
      </c>
      <c r="C125" s="5" t="s">
        <v>88</v>
      </c>
      <c r="D125" s="5">
        <v>4</v>
      </c>
      <c r="E125" s="5">
        <f>SUMIF('Barang Masuk '!$C$6:$C$1510,B125,'Barang Masuk '!$D$6:$D$1510)</f>
        <v>3</v>
      </c>
      <c r="F125" s="5">
        <f>SUMIF('Barang keluar'!$C$6:$C$1682,B125,'Barang keluar'!$D$6:$D$1682)</f>
        <v>5</v>
      </c>
      <c r="G125" s="5">
        <f>D125+E125-F125</f>
        <v>2</v>
      </c>
      <c r="H125" s="38"/>
    </row>
    <row r="126" spans="1:9" ht="16.5" x14ac:dyDescent="0.2">
      <c r="A126" s="8" t="s">
        <v>299</v>
      </c>
      <c r="B126" s="3" t="s">
        <v>300</v>
      </c>
      <c r="C126" s="5" t="s">
        <v>88</v>
      </c>
      <c r="D126" s="5">
        <v>1</v>
      </c>
      <c r="E126" s="5">
        <f>SUMIF('Barang Masuk '!$C$6:$C$1510,B126,'Barang Masuk '!$D$6:$D$1510)</f>
        <v>5</v>
      </c>
      <c r="F126" s="5">
        <f>SUMIF('Barang keluar'!$C$6:$C$1682,B126,'Barang keluar'!$D$6:$D$1682)</f>
        <v>4</v>
      </c>
      <c r="G126" s="5">
        <f>D126+E126-F126</f>
        <v>2</v>
      </c>
      <c r="H126" s="38"/>
    </row>
    <row r="127" spans="1:9" ht="16.5" x14ac:dyDescent="0.2">
      <c r="A127" s="8" t="s">
        <v>158</v>
      </c>
      <c r="B127" s="3" t="s">
        <v>159</v>
      </c>
      <c r="C127" s="5" t="s">
        <v>88</v>
      </c>
      <c r="D127" s="5">
        <v>15</v>
      </c>
      <c r="E127" s="5">
        <f>SUMIF('Barang Masuk '!$C$6:$C$1510,B127,'Barang Masuk '!$D$6:$D$1510)</f>
        <v>0</v>
      </c>
      <c r="F127" s="5">
        <f>SUMIF('Barang keluar'!$C$6:$C$1682,B127,'Barang keluar'!$D$6:$D$1682)</f>
        <v>3</v>
      </c>
      <c r="G127" s="5">
        <f>D127+E127-F127</f>
        <v>12</v>
      </c>
      <c r="H127" s="38"/>
    </row>
    <row r="128" spans="1:9" ht="16.5" x14ac:dyDescent="0.2">
      <c r="A128" s="8" t="s">
        <v>162</v>
      </c>
      <c r="B128" s="3" t="s">
        <v>163</v>
      </c>
      <c r="C128" s="5" t="s">
        <v>88</v>
      </c>
      <c r="D128" s="5">
        <v>4</v>
      </c>
      <c r="E128" s="5">
        <f>SUMIF('Barang Masuk '!$C$6:$C$1510,B128,'Barang Masuk '!$D$6:$D$1510)</f>
        <v>0</v>
      </c>
      <c r="F128" s="5">
        <f>SUMIF('Barang keluar'!$C$6:$C$1682,B128,'Barang keluar'!$D$6:$D$1682)</f>
        <v>3</v>
      </c>
      <c r="G128" s="5">
        <f>D128+E128-F128</f>
        <v>1</v>
      </c>
      <c r="H128" s="38"/>
    </row>
    <row r="129" spans="1:8" ht="16.5" x14ac:dyDescent="0.2">
      <c r="A129" s="8" t="s">
        <v>152</v>
      </c>
      <c r="B129" s="3" t="s">
        <v>153</v>
      </c>
      <c r="C129" s="5" t="s">
        <v>88</v>
      </c>
      <c r="D129" s="5">
        <v>2</v>
      </c>
      <c r="E129" s="5">
        <f>SUMIF('Barang Masuk '!$C$6:$C$1510,B129,'Barang Masuk '!$D$6:$D$1510)</f>
        <v>0</v>
      </c>
      <c r="F129" s="5">
        <f>SUMIF('Barang keluar'!$C$6:$C$1682,B129,'Barang keluar'!$D$6:$D$1682)</f>
        <v>0</v>
      </c>
      <c r="G129" s="5">
        <f>D129+E129-F129</f>
        <v>2</v>
      </c>
      <c r="H129" s="38"/>
    </row>
    <row r="130" spans="1:8" ht="16.5" x14ac:dyDescent="0.2">
      <c r="A130" s="8" t="s">
        <v>228</v>
      </c>
      <c r="B130" s="3" t="s">
        <v>147</v>
      </c>
      <c r="C130" s="5" t="s">
        <v>88</v>
      </c>
      <c r="D130" s="5">
        <v>1</v>
      </c>
      <c r="E130" s="5">
        <f>SUMIF('Barang Masuk '!$C$6:$C$1510,B130,'Barang Masuk '!$D$6:$D$1510)</f>
        <v>6</v>
      </c>
      <c r="F130" s="5">
        <f>SUMIF('Barang keluar'!$C$6:$C$1682,B130,'Barang keluar'!$D$6:$D$1682)</f>
        <v>5</v>
      </c>
      <c r="G130" s="5">
        <f>D130+E130-F130</f>
        <v>2</v>
      </c>
      <c r="H130" s="38"/>
    </row>
    <row r="131" spans="1:8" ht="16.5" x14ac:dyDescent="0.2">
      <c r="A131" s="8" t="s">
        <v>154</v>
      </c>
      <c r="B131" s="3" t="s">
        <v>155</v>
      </c>
      <c r="C131" s="5" t="s">
        <v>88</v>
      </c>
      <c r="D131" s="5">
        <v>3</v>
      </c>
      <c r="E131" s="5">
        <f>SUMIF('Barang Masuk '!$C$6:$C$1510,B131,'Barang Masuk '!$D$6:$D$1510)</f>
        <v>1</v>
      </c>
      <c r="F131" s="5">
        <f>SUMIF('Barang keluar'!$C$6:$C$1682,B131,'Barang keluar'!$D$6:$D$1682)</f>
        <v>3</v>
      </c>
      <c r="G131" s="5">
        <f>D131+E131-F131</f>
        <v>1</v>
      </c>
      <c r="H131" s="38"/>
    </row>
    <row r="132" spans="1:8" ht="16.5" x14ac:dyDescent="0.2">
      <c r="A132" s="8" t="s">
        <v>230</v>
      </c>
      <c r="B132" s="3" t="s">
        <v>230</v>
      </c>
      <c r="C132" s="5" t="s">
        <v>60</v>
      </c>
      <c r="D132" s="5">
        <v>4</v>
      </c>
      <c r="E132" s="5">
        <f>SUMIF('Barang Masuk '!$C$6:$C$1510,B132,'Barang Masuk '!$D$6:$D$1510)</f>
        <v>0</v>
      </c>
      <c r="F132" s="5">
        <f>SUMIF('Barang keluar'!$C$6:$C$1682,B132,'Barang keluar'!$D$6:$D$1682)</f>
        <v>1</v>
      </c>
      <c r="G132" s="5">
        <f>D132+E132-F132</f>
        <v>3</v>
      </c>
      <c r="H132" s="38"/>
    </row>
    <row r="133" spans="1:8" ht="16.5" x14ac:dyDescent="0.2">
      <c r="A133" s="8" t="s">
        <v>145</v>
      </c>
      <c r="B133" s="3" t="s">
        <v>146</v>
      </c>
      <c r="C133" s="5" t="s">
        <v>88</v>
      </c>
      <c r="D133" s="5">
        <v>3</v>
      </c>
      <c r="E133" s="5">
        <f>SUMIF('Barang Masuk '!$C$6:$C$1510,B133,'Barang Masuk '!$D$6:$D$1510)</f>
        <v>0</v>
      </c>
      <c r="F133" s="5">
        <f>SUMIF('Barang keluar'!$C$6:$C$1682,B133,'Barang keluar'!$D$6:$D$1682)</f>
        <v>0</v>
      </c>
      <c r="G133" s="5">
        <f>D133+E133-F133</f>
        <v>3</v>
      </c>
      <c r="H133" s="38"/>
    </row>
    <row r="134" spans="1:8" ht="16.5" x14ac:dyDescent="0.2">
      <c r="A134" s="8" t="s">
        <v>143</v>
      </c>
      <c r="B134" s="3" t="s">
        <v>144</v>
      </c>
      <c r="C134" s="5" t="s">
        <v>60</v>
      </c>
      <c r="D134" s="5">
        <v>1</v>
      </c>
      <c r="E134" s="5">
        <f>SUMIF('Barang Masuk '!$C$6:$C$1510,B134,'Barang Masuk '!$D$6:$D$1510)</f>
        <v>1</v>
      </c>
      <c r="F134" s="5">
        <f>SUMIF('Barang keluar'!$C$6:$C$1682,B134,'Barang keluar'!$D$6:$D$1682)</f>
        <v>1</v>
      </c>
      <c r="G134" s="5">
        <f>D134+E134-F134</f>
        <v>1</v>
      </c>
      <c r="H134" s="38"/>
    </row>
    <row r="135" spans="1:8" ht="16.5" x14ac:dyDescent="0.2">
      <c r="A135" s="8" t="s">
        <v>216</v>
      </c>
      <c r="B135" s="3" t="s">
        <v>142</v>
      </c>
      <c r="C135" s="5" t="s">
        <v>88</v>
      </c>
      <c r="D135" s="5">
        <v>22</v>
      </c>
      <c r="E135" s="5">
        <f>SUMIF('Barang Masuk '!$C$6:$C$1510,B135,'Barang Masuk '!$D$6:$D$1510)</f>
        <v>0</v>
      </c>
      <c r="F135" s="5">
        <f>SUMIF('Barang keluar'!$C$6:$C$1682,B135,'Barang keluar'!$D$6:$D$1682)</f>
        <v>1</v>
      </c>
      <c r="G135" s="5">
        <f>D135+E135-F135</f>
        <v>21</v>
      </c>
      <c r="H135" s="38"/>
    </row>
    <row r="136" spans="1:8" ht="16.5" x14ac:dyDescent="0.2">
      <c r="A136" s="8" t="s">
        <v>220</v>
      </c>
      <c r="B136" s="3" t="s">
        <v>166</v>
      </c>
      <c r="C136" s="5" t="s">
        <v>169</v>
      </c>
      <c r="D136" s="5">
        <v>4</v>
      </c>
      <c r="E136" s="5">
        <f>SUMIF('Barang Masuk '!$C$6:$C$1510,B136,'Barang Masuk '!$D$6:$D$1510)</f>
        <v>0</v>
      </c>
      <c r="F136" s="5">
        <f>SUMIF('Barang keluar'!$C$6:$C$1682,B136,'Barang keluar'!$D$6:$D$1682)</f>
        <v>1</v>
      </c>
      <c r="G136" s="5">
        <f>D136+E136-F136</f>
        <v>3</v>
      </c>
      <c r="H136" s="38"/>
    </row>
    <row r="137" spans="1:8" ht="16.5" x14ac:dyDescent="0.2">
      <c r="A137" s="8" t="s">
        <v>221</v>
      </c>
      <c r="B137" s="3" t="s">
        <v>167</v>
      </c>
      <c r="C137" s="5" t="s">
        <v>88</v>
      </c>
      <c r="D137" s="5">
        <v>0</v>
      </c>
      <c r="E137" s="5">
        <f>SUMIF('Barang Masuk '!$C$6:$C$1510,B137,'Barang Masuk '!$D$6:$D$1510)</f>
        <v>0</v>
      </c>
      <c r="F137" s="5">
        <f>SUMIF('Barang keluar'!$C$6:$C$1682,B137,'Barang keluar'!$D$6:$D$1682)</f>
        <v>0</v>
      </c>
      <c r="G137" s="5">
        <f>D137+E137-F137</f>
        <v>0</v>
      </c>
      <c r="H137" s="38"/>
    </row>
    <row r="138" spans="1:8" ht="16.5" x14ac:dyDescent="0.2">
      <c r="A138" s="8" t="s">
        <v>214</v>
      </c>
      <c r="B138" s="3" t="s">
        <v>168</v>
      </c>
      <c r="C138" s="5" t="s">
        <v>169</v>
      </c>
      <c r="D138" s="5">
        <v>134</v>
      </c>
      <c r="E138" s="5">
        <f>SUMIF('Barang Masuk '!$C$6:$C$1510,B138,'Barang Masuk '!$D$6:$D$1510)</f>
        <v>0</v>
      </c>
      <c r="F138" s="5">
        <f>SUMIF('Barang keluar'!$C$6:$C$1682,B138,'Barang keluar'!$D$6:$D$1682)</f>
        <v>2</v>
      </c>
      <c r="G138" s="5">
        <f>D138+E138-F138</f>
        <v>132</v>
      </c>
      <c r="H138" s="38"/>
    </row>
  </sheetData>
  <mergeCells count="9">
    <mergeCell ref="A83:B83"/>
    <mergeCell ref="A112:B112"/>
    <mergeCell ref="A6:B6"/>
    <mergeCell ref="A1:O1"/>
    <mergeCell ref="A2:O2"/>
    <mergeCell ref="A31:B31"/>
    <mergeCell ref="A46:B46"/>
    <mergeCell ref="A52:B52"/>
    <mergeCell ref="A69:C69"/>
  </mergeCells>
  <phoneticPr fontId="14" alignment="center"/>
  <conditionalFormatting sqref="G8:G28">
    <cfRule type="cellIs" dxfId="36" priority="45" operator="lessThan">
      <formula>41</formula>
    </cfRule>
    <cfRule type="cellIs" dxfId="35" priority="46" operator="greaterThan">
      <formula>40</formula>
    </cfRule>
  </conditionalFormatting>
  <conditionalFormatting sqref="G29">
    <cfRule type="cellIs" dxfId="34" priority="44" operator="greaterThan">
      <formula>1</formula>
    </cfRule>
    <cfRule type="cellIs" dxfId="33" priority="43" operator="lessThan">
      <formula>2</formula>
    </cfRule>
  </conditionalFormatting>
  <conditionalFormatting sqref="G30">
    <cfRule type="cellIs" dxfId="32" priority="42" operator="greaterThan">
      <formula>10</formula>
    </cfRule>
    <cfRule type="cellIs" dxfId="31" priority="41" operator="lessThan">
      <formula>11</formula>
    </cfRule>
  </conditionalFormatting>
  <conditionalFormatting sqref="G32:G45">
    <cfRule type="cellIs" dxfId="30" priority="40" operator="greaterThan">
      <formula>4</formula>
    </cfRule>
    <cfRule type="cellIs" dxfId="29" priority="39" operator="lessThan">
      <formula>5</formula>
    </cfRule>
  </conditionalFormatting>
  <conditionalFormatting sqref="G47:G48">
    <cfRule type="cellIs" dxfId="28" priority="36" operator="greaterThan">
      <formula>1</formula>
    </cfRule>
    <cfRule type="cellIs" dxfId="27" priority="35" operator="lessThan">
      <formula>2</formula>
    </cfRule>
  </conditionalFormatting>
  <conditionalFormatting sqref="G49:G51">
    <cfRule type="cellIs" dxfId="26" priority="38" operator="greaterThan">
      <formula>4</formula>
    </cfRule>
  </conditionalFormatting>
  <conditionalFormatting sqref="G54">
    <cfRule type="cellIs" dxfId="25" priority="27" operator="lessThan">
      <formula>121</formula>
    </cfRule>
    <cfRule type="cellIs" dxfId="24" priority="28" operator="greaterThan">
      <formula>120</formula>
    </cfRule>
  </conditionalFormatting>
  <conditionalFormatting sqref="G55:G59 G120">
    <cfRule type="cellIs" dxfId="23" priority="30" operator="greaterThan">
      <formula>5</formula>
    </cfRule>
  </conditionalFormatting>
  <conditionalFormatting sqref="G55:G59">
    <cfRule type="cellIs" dxfId="22" priority="29" operator="lessThan">
      <formula>6</formula>
    </cfRule>
  </conditionalFormatting>
  <conditionalFormatting sqref="G60:G68">
    <cfRule type="cellIs" dxfId="21" priority="32" operator="greaterThan">
      <formula>0</formula>
    </cfRule>
    <cfRule type="cellIs" dxfId="20" priority="31" operator="lessThan">
      <formula>1</formula>
    </cfRule>
  </conditionalFormatting>
  <conditionalFormatting sqref="G71:G76">
    <cfRule type="cellIs" dxfId="19" priority="23" operator="greaterThan">
      <formula>5</formula>
    </cfRule>
    <cfRule type="cellIs" dxfId="18" priority="24" operator="lessThan">
      <formula>6</formula>
    </cfRule>
  </conditionalFormatting>
  <conditionalFormatting sqref="G77:G80">
    <cfRule type="cellIs" dxfId="17" priority="26" operator="greaterThan">
      <formula>1</formula>
    </cfRule>
  </conditionalFormatting>
  <conditionalFormatting sqref="G77:G82">
    <cfRule type="cellIs" dxfId="16" priority="21" operator="lessThan">
      <formula>2</formula>
    </cfRule>
  </conditionalFormatting>
  <conditionalFormatting sqref="G81:G82">
    <cfRule type="cellIs" dxfId="15" priority="22" operator="greaterThan">
      <formula>2</formula>
    </cfRule>
  </conditionalFormatting>
  <conditionalFormatting sqref="G85:G89 G99:G107">
    <cfRule type="cellIs" dxfId="14" priority="20" operator="greaterThan">
      <formula>5</formula>
    </cfRule>
    <cfRule type="cellIs" dxfId="13" priority="19" operator="lessThan">
      <formula>6</formula>
    </cfRule>
  </conditionalFormatting>
  <conditionalFormatting sqref="G90:G96">
    <cfRule type="cellIs" dxfId="12" priority="18" operator="greaterThan">
      <formula>1</formula>
    </cfRule>
    <cfRule type="cellIs" dxfId="11" priority="17" operator="lessThan">
      <formula>2</formula>
    </cfRule>
  </conditionalFormatting>
  <conditionalFormatting sqref="G108:G111">
    <cfRule type="cellIs" dxfId="10" priority="14" operator="greaterThan">
      <formula>2</formula>
    </cfRule>
    <cfRule type="cellIs" dxfId="9" priority="13" operator="lessThan">
      <formula>3</formula>
    </cfRule>
  </conditionalFormatting>
  <conditionalFormatting sqref="G114:G117">
    <cfRule type="cellIs" dxfId="8" priority="12" operator="greaterThan">
      <formula>40</formula>
    </cfRule>
    <cfRule type="cellIs" dxfId="7" priority="11" operator="lessThan">
      <formula>41</formula>
    </cfRule>
  </conditionalFormatting>
  <conditionalFormatting sqref="G118:G119">
    <cfRule type="cellIs" dxfId="6" priority="10" operator="greaterThan">
      <formula>30</formula>
    </cfRule>
    <cfRule type="cellIs" dxfId="5" priority="9" operator="lessThan">
      <formula>31</formula>
    </cfRule>
  </conditionalFormatting>
  <conditionalFormatting sqref="G120 G49:G51">
    <cfRule type="cellIs" dxfId="4" priority="37" operator="lessThan">
      <formula>6</formula>
    </cfRule>
  </conditionalFormatting>
  <conditionalFormatting sqref="G121:G124">
    <cfRule type="cellIs" dxfId="3" priority="4" operator="greaterThan">
      <formula>1</formula>
    </cfRule>
    <cfRule type="cellIs" dxfId="2" priority="3" operator="lessThan">
      <formula>2</formula>
    </cfRule>
  </conditionalFormatting>
  <conditionalFormatting sqref="G125:G138">
    <cfRule type="cellIs" dxfId="1" priority="2" operator="greaterThan">
      <formula>2</formula>
    </cfRule>
    <cfRule type="cellIs" dxfId="0" priority="1" operator="less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6E4B-D176-4E47-80F9-EF46E832EF45}">
  <dimension ref="A1:N510"/>
  <sheetViews>
    <sheetView topLeftCell="A160" zoomScaleNormal="150" zoomScaleSheetLayoutView="100" workbookViewId="0">
      <selection activeCell="B177" sqref="B177"/>
    </sheetView>
  </sheetViews>
  <sheetFormatPr defaultRowHeight="15" x14ac:dyDescent="0.2"/>
  <cols>
    <col min="1" max="1" width="18.29296875" customWidth="1"/>
    <col min="2" max="2" width="18.6953125" customWidth="1"/>
    <col min="3" max="3" width="31.74609375" customWidth="1"/>
    <col min="4" max="4" width="25.9609375" customWidth="1"/>
    <col min="5" max="5" width="25.69140625" customWidth="1"/>
  </cols>
  <sheetData>
    <row r="1" spans="1:14" ht="41.25" x14ac:dyDescent="0.55000000000000004">
      <c r="A1" s="83" t="s">
        <v>53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ht="19.5" x14ac:dyDescent="0.25">
      <c r="A2" s="84" t="s">
        <v>54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4" spans="1:14" ht="16.5" x14ac:dyDescent="0.2">
      <c r="A4" s="7" t="s">
        <v>7</v>
      </c>
      <c r="B4" s="7" t="s">
        <v>267</v>
      </c>
      <c r="C4" s="2"/>
      <c r="D4" s="2"/>
    </row>
    <row r="5" spans="1:14" ht="16.5" x14ac:dyDescent="0.2">
      <c r="A5" s="24" t="s">
        <v>57</v>
      </c>
      <c r="B5" s="24" t="s">
        <v>2</v>
      </c>
      <c r="C5" s="24" t="s">
        <v>55</v>
      </c>
      <c r="D5" s="24" t="s">
        <v>56</v>
      </c>
    </row>
    <row r="6" spans="1:14" ht="16.5" x14ac:dyDescent="0.2">
      <c r="A6" s="21">
        <v>46266</v>
      </c>
      <c r="B6" s="5" t="s">
        <v>252</v>
      </c>
      <c r="C6" s="3" t="str">
        <f>IFERROR(VLOOKUP(B6,'Rekap Stock Barang'!$A$7:$G$153,2,0),"")</f>
        <v xml:space="preserve">Ayam Suwir </v>
      </c>
      <c r="D6" s="5">
        <v>103</v>
      </c>
    </row>
    <row r="7" spans="1:14" ht="16.5" x14ac:dyDescent="0.2">
      <c r="A7" s="21"/>
      <c r="B7" s="5" t="s">
        <v>10</v>
      </c>
      <c r="C7" s="3" t="str">
        <f>IFERROR(VLOOKUP(B7,'Rekap Stock Barang'!$A$7:$G$153,2,0),"")</f>
        <v>Topping Mbakmoy</v>
      </c>
      <c r="D7" s="5">
        <v>20</v>
      </c>
    </row>
    <row r="8" spans="1:14" ht="16.5" x14ac:dyDescent="0.2">
      <c r="A8" s="21"/>
      <c r="B8" s="5" t="s">
        <v>236</v>
      </c>
      <c r="C8" s="3" t="str">
        <f>IFERROR(VLOOKUP(B8,'Rekap Stock Barang'!$A$7:$G$153,2,0),"")</f>
        <v xml:space="preserve">Paha Gurih Manis </v>
      </c>
      <c r="D8" s="5">
        <v>60</v>
      </c>
    </row>
    <row r="9" spans="1:14" ht="16.5" x14ac:dyDescent="0.2">
      <c r="A9" s="22"/>
      <c r="B9" s="5" t="s">
        <v>268</v>
      </c>
      <c r="C9" s="3" t="str">
        <f>IFERROR(VLOOKUP(B9,'Rekap Stock Barang'!$A$7:$G$153,2,0),"")</f>
        <v>Dada Gurih Manis</v>
      </c>
      <c r="D9" s="5">
        <v>30</v>
      </c>
    </row>
    <row r="10" spans="1:14" ht="16.5" x14ac:dyDescent="0.2">
      <c r="A10" s="21"/>
      <c r="B10" s="5" t="s">
        <v>16</v>
      </c>
      <c r="C10" s="3" t="str">
        <f>IFERROR(VLOOKUP(B10,'Rekap Stock Barang'!$A$7:$G$153,2,0),"")</f>
        <v>Paha</v>
      </c>
      <c r="D10" s="5">
        <v>93</v>
      </c>
    </row>
    <row r="11" spans="1:14" ht="16.5" x14ac:dyDescent="0.2">
      <c r="A11" s="21"/>
      <c r="B11" s="5" t="s">
        <v>19</v>
      </c>
      <c r="C11" s="3" t="str">
        <f>IFERROR(VLOOKUP(B11,'Rekap Stock Barang'!$A$7:$G$153,2,0),"")</f>
        <v>Dada</v>
      </c>
      <c r="D11" s="5">
        <v>74</v>
      </c>
    </row>
    <row r="12" spans="1:14" ht="16.5" x14ac:dyDescent="0.2">
      <c r="A12" s="22"/>
      <c r="B12" s="5" t="s">
        <v>269</v>
      </c>
      <c r="C12" s="3" t="str">
        <f>IFERROR(VLOOKUP(B12,'Rekap Stock Barang'!$A$7:$G$153,2,0),"")</f>
        <v xml:space="preserve">Topping Kwetiau </v>
      </c>
      <c r="D12" s="5">
        <v>88</v>
      </c>
    </row>
    <row r="13" spans="1:14" ht="16.5" x14ac:dyDescent="0.2">
      <c r="A13" s="21"/>
      <c r="B13" s="5" t="s">
        <v>148</v>
      </c>
      <c r="C13" s="3" t="str">
        <f>IFERROR(VLOOKUP(B13,'Rekap Stock Barang'!$A$7:$G$153,2,0),"")</f>
        <v>Tissue Meja</v>
      </c>
      <c r="D13" s="5">
        <v>6</v>
      </c>
    </row>
    <row r="14" spans="1:14" ht="16.5" x14ac:dyDescent="0.2">
      <c r="A14" s="22"/>
      <c r="B14" s="5" t="s">
        <v>270</v>
      </c>
      <c r="C14" s="3" t="str">
        <f>IFERROR(VLOOKUP(B14,'Rekap Stock Barang'!$A$7:$G$153,2,0),"")</f>
        <v>Tissue Toilet</v>
      </c>
      <c r="D14" s="5">
        <v>20</v>
      </c>
    </row>
    <row r="15" spans="1:14" ht="17.25" thickBot="1" x14ac:dyDescent="0.25">
      <c r="A15" s="65" t="s">
        <v>277</v>
      </c>
      <c r="B15" s="66" t="s">
        <v>8</v>
      </c>
      <c r="C15" s="67" t="str">
        <f>IFERROR(VLOOKUP(B15,'Rekap Stock Barang'!$A$7:$G$153,2,0),"")</f>
        <v xml:space="preserve">Ayam Suwir </v>
      </c>
      <c r="D15" s="66">
        <v>3</v>
      </c>
    </row>
    <row r="16" spans="1:14" ht="16.5" x14ac:dyDescent="0.2">
      <c r="A16" s="68">
        <v>46267</v>
      </c>
      <c r="B16" s="15" t="s">
        <v>279</v>
      </c>
      <c r="C16" s="34" t="str">
        <f>IFERROR(VLOOKUP(B16,'Rekap Stock Barang'!$A$7:$G$153,2,0),"")</f>
        <v>Lidah Goreng Segara</v>
      </c>
      <c r="D16" s="15">
        <v>11</v>
      </c>
    </row>
    <row r="17" spans="1:4" ht="16.5" x14ac:dyDescent="0.2">
      <c r="A17" s="22"/>
      <c r="B17" s="5" t="s">
        <v>284</v>
      </c>
      <c r="C17" s="3" t="str">
        <f>IFERROR(VLOOKUP(B17,'Rekap Stock Barang'!$A$7:$G$153,2,0),"")</f>
        <v>Bumbu Ungkep Lidah</v>
      </c>
      <c r="D17" s="5">
        <v>9</v>
      </c>
    </row>
    <row r="18" spans="1:4" ht="16.5" x14ac:dyDescent="0.2">
      <c r="A18" s="21"/>
      <c r="B18" s="5" t="s">
        <v>286</v>
      </c>
      <c r="C18" s="3" t="str">
        <f>IFERROR(VLOOKUP(B18,'Rekap Stock Barang'!$A$7:$G$153,2,0),"")</f>
        <v>Bumbu Segara</v>
      </c>
      <c r="D18" s="5">
        <v>3</v>
      </c>
    </row>
    <row r="19" spans="1:4" ht="16.5" x14ac:dyDescent="0.2">
      <c r="A19" s="21"/>
      <c r="B19" s="5" t="s">
        <v>170</v>
      </c>
      <c r="C19" s="3" t="str">
        <f>IFERROR(VLOOKUP(B19,'Rekap Stock Barang'!$A$7:$G$153,2,0),"")</f>
        <v>Air Tahu</v>
      </c>
      <c r="D19" s="5">
        <v>20</v>
      </c>
    </row>
    <row r="20" spans="1:4" ht="17.25" thickBot="1" x14ac:dyDescent="0.25">
      <c r="A20" s="65" t="s">
        <v>287</v>
      </c>
      <c r="B20" s="66" t="s">
        <v>8</v>
      </c>
      <c r="C20" s="67" t="str">
        <f>IFERROR(VLOOKUP(B20,'Rekap Stock Barang'!$A$7:$G$153,2,0),"")</f>
        <v xml:space="preserve">Ayam Suwir </v>
      </c>
      <c r="D20" s="66">
        <v>1</v>
      </c>
    </row>
    <row r="21" spans="1:4" ht="16.5" x14ac:dyDescent="0.2">
      <c r="A21" s="68">
        <v>46268</v>
      </c>
      <c r="B21" s="15" t="s">
        <v>288</v>
      </c>
      <c r="C21" s="34" t="str">
        <f>IFERROR(VLOOKUP(B21,'Rekap Stock Barang'!$A$7:$G$153,2,0),"")</f>
        <v>Pete</v>
      </c>
      <c r="D21" s="15">
        <v>5</v>
      </c>
    </row>
    <row r="22" spans="1:4" ht="16.5" x14ac:dyDescent="0.2">
      <c r="A22" s="22"/>
      <c r="B22" s="5" t="s">
        <v>14</v>
      </c>
      <c r="C22" s="3" t="str">
        <f>IFERROR(VLOOKUP(B22,'Rekap Stock Barang'!$A$7:$G$153,2,0),"")</f>
        <v>Ayam Jamur</v>
      </c>
      <c r="D22" s="5">
        <v>50</v>
      </c>
    </row>
    <row r="23" spans="1:4" ht="16.5" x14ac:dyDescent="0.2">
      <c r="A23" s="22"/>
      <c r="B23" s="5" t="s">
        <v>290</v>
      </c>
      <c r="C23" s="3" t="str">
        <f>IFERROR(VLOOKUP(B23,'Rekap Stock Barang'!$A$7:$G$153,2,0),"")</f>
        <v>Bumbu Serundeng</v>
      </c>
      <c r="D23" s="5">
        <v>19</v>
      </c>
    </row>
    <row r="24" spans="1:4" ht="17.25" thickBot="1" x14ac:dyDescent="0.25">
      <c r="A24" s="61"/>
      <c r="B24" s="71" t="s">
        <v>31</v>
      </c>
      <c r="C24" s="72" t="str">
        <f>IFERROR(VLOOKUP(B24,'Rekap Stock Barang'!$A$7:$G$153,2,0),"")</f>
        <v>Bagor</v>
      </c>
      <c r="D24" s="71">
        <v>89</v>
      </c>
    </row>
    <row r="25" spans="1:4" ht="16.5" x14ac:dyDescent="0.2">
      <c r="A25" s="68">
        <v>46269</v>
      </c>
      <c r="B25" s="15" t="s">
        <v>184</v>
      </c>
      <c r="C25" s="34" t="str">
        <f>IFERROR(VLOOKUP(B25,'Rekap Stock Barang'!$A$7:$G$153,2,0),"")</f>
        <v xml:space="preserve">Tepung Maizena </v>
      </c>
      <c r="D25" s="15">
        <v>5</v>
      </c>
    </row>
    <row r="26" spans="1:4" ht="16.5" x14ac:dyDescent="0.2">
      <c r="A26" s="21"/>
      <c r="B26" s="5" t="s">
        <v>187</v>
      </c>
      <c r="C26" s="3" t="str">
        <f>IFERROR(VLOOKUP(B26,'Rekap Stock Barang'!$A$7:$G$153,2,0),"")</f>
        <v xml:space="preserve">Tepung Tapioka </v>
      </c>
      <c r="D26" s="5">
        <v>9</v>
      </c>
    </row>
    <row r="27" spans="1:4" ht="17.25" thickBot="1" x14ac:dyDescent="0.25">
      <c r="A27" s="73"/>
      <c r="B27" s="71" t="s">
        <v>296</v>
      </c>
      <c r="C27" s="72" t="str">
        <f>IFERROR(VLOOKUP(B27,'Rekap Stock Barang'!$A$7:$G$153,2,0),"")</f>
        <v xml:space="preserve">Bumbu Teri </v>
      </c>
      <c r="D27" s="71">
        <v>3</v>
      </c>
    </row>
    <row r="28" spans="1:4" ht="16.5" x14ac:dyDescent="0.2">
      <c r="A28" s="68">
        <v>46270</v>
      </c>
      <c r="B28" s="15" t="s">
        <v>249</v>
      </c>
      <c r="C28" s="34" t="str">
        <f>IFERROR(VLOOKUP(B28,'Rekap Stock Barang'!$A$7:$G$153,2,0),"")</f>
        <v>Minyak Beku</v>
      </c>
      <c r="D28" s="15">
        <v>6</v>
      </c>
    </row>
    <row r="29" spans="1:4" ht="16.5" x14ac:dyDescent="0.2">
      <c r="A29" s="22"/>
      <c r="B29" s="5" t="s">
        <v>243</v>
      </c>
      <c r="C29" s="3" t="str">
        <f>IFERROR(VLOOKUP(B29,'Rekap Stock Barang'!$A$7:$G$153,2,0),"")</f>
        <v xml:space="preserve">Daging Slice </v>
      </c>
      <c r="D29" s="5">
        <v>40</v>
      </c>
    </row>
    <row r="30" spans="1:4" ht="16.5" x14ac:dyDescent="0.2">
      <c r="A30" s="21"/>
      <c r="B30" s="5" t="s">
        <v>228</v>
      </c>
      <c r="C30" s="3" t="str">
        <f>IFERROR(VLOOKUP(B30,'Rekap Stock Barang'!$A$7:$G$153,2,0),"")</f>
        <v xml:space="preserve">Sedotan </v>
      </c>
      <c r="D30" s="5">
        <v>6</v>
      </c>
    </row>
    <row r="31" spans="1:4" ht="17.25" thickBot="1" x14ac:dyDescent="0.25">
      <c r="A31" s="73"/>
      <c r="B31" s="71" t="s">
        <v>38</v>
      </c>
      <c r="C31" s="72" t="str">
        <f>IFERROR(VLOOKUP(B31,'Rekap Stock Barang'!$A$7:$G$153,2,0),"")</f>
        <v>Daging Sambal HIjau</v>
      </c>
      <c r="D31" s="71">
        <v>83</v>
      </c>
    </row>
    <row r="32" spans="1:4" ht="16.5" x14ac:dyDescent="0.2">
      <c r="A32" s="68">
        <v>46271</v>
      </c>
      <c r="B32" s="15" t="s">
        <v>299</v>
      </c>
      <c r="C32" s="34" t="str">
        <f>IFERROR(VLOOKUP(B32,'Rekap Stock Barang'!$A$7:$G$153,2,0),"")</f>
        <v>Plastik Bima uk24</v>
      </c>
      <c r="D32" s="15">
        <v>5</v>
      </c>
    </row>
    <row r="33" spans="1:4" ht="16.5" x14ac:dyDescent="0.2">
      <c r="A33" s="22"/>
      <c r="B33" s="5" t="s">
        <v>143</v>
      </c>
      <c r="C33" s="3" t="str">
        <f>IFERROR(VLOOKUP(B33,'Rekap Stock Barang'!$A$7:$G$153,2,0),"")</f>
        <v>2in1 Sendok</v>
      </c>
      <c r="D33" s="5">
        <v>1</v>
      </c>
    </row>
    <row r="34" spans="1:4" ht="16.5" x14ac:dyDescent="0.2">
      <c r="A34" s="22"/>
      <c r="B34" s="5" t="s">
        <v>301</v>
      </c>
      <c r="C34" s="3" t="str">
        <f>IFERROR(VLOOKUP(B34,'Rekap Stock Barang'!$A$7:$G$153,2,0),"")</f>
        <v>Cup Sambal</v>
      </c>
      <c r="D34" s="5">
        <v>3</v>
      </c>
    </row>
    <row r="35" spans="1:4" ht="16.5" x14ac:dyDescent="0.2">
      <c r="A35" s="21"/>
      <c r="B35" s="5" t="s">
        <v>271</v>
      </c>
      <c r="C35" s="3" t="str">
        <f>IFERROR(VLOOKUP(B35,'Rekap Stock Barang'!$A$7:$G$153,2,0),"")</f>
        <v>Plastik Soup XS</v>
      </c>
      <c r="D35" s="5">
        <v>3</v>
      </c>
    </row>
    <row r="36" spans="1:4" ht="16.5" x14ac:dyDescent="0.2">
      <c r="A36" s="22"/>
      <c r="B36" s="5" t="s">
        <v>209</v>
      </c>
      <c r="C36" s="3" t="str">
        <f>IFERROR(VLOOKUP(B36,'Rekap Stock Barang'!$A$7:$G$153,2,0),"")</f>
        <v>Kecap Maggi</v>
      </c>
      <c r="D36" s="5">
        <v>1</v>
      </c>
    </row>
    <row r="37" spans="1:4" ht="16.5" x14ac:dyDescent="0.2">
      <c r="A37" s="21"/>
      <c r="B37" s="5" t="s">
        <v>106</v>
      </c>
      <c r="C37" s="3" t="str">
        <f>IFERROR(VLOOKUP(B37,'Rekap Stock Barang'!$A$7:$G$153,2,0),"")</f>
        <v>Raja Rasa</v>
      </c>
      <c r="D37" s="5">
        <v>3</v>
      </c>
    </row>
    <row r="38" spans="1:4" ht="16.5" x14ac:dyDescent="0.2">
      <c r="A38" s="22"/>
      <c r="B38" s="5" t="s">
        <v>204</v>
      </c>
      <c r="C38" s="3" t="str">
        <f>IFERROR(VLOOKUP(B38,'Rekap Stock Barang'!$A$7:$G$153,2,0),"")</f>
        <v xml:space="preserve">Gula </v>
      </c>
      <c r="D38" s="5">
        <v>10</v>
      </c>
    </row>
    <row r="39" spans="1:4" ht="16.5" x14ac:dyDescent="0.2">
      <c r="A39" s="21"/>
      <c r="B39" s="5" t="s">
        <v>280</v>
      </c>
      <c r="C39" s="3" t="str">
        <f>IFERROR(VLOOKUP(B39,'Rekap Stock Barang'!$A$7:$G$153,2,0),"")</f>
        <v xml:space="preserve">Bumbu Racik </v>
      </c>
      <c r="D39" s="5">
        <v>10</v>
      </c>
    </row>
    <row r="40" spans="1:4" ht="16.5" x14ac:dyDescent="0.2">
      <c r="A40" s="22"/>
      <c r="B40" s="5" t="s">
        <v>103</v>
      </c>
      <c r="C40" s="3" t="str">
        <f>IFERROR(VLOOKUP(B40,'Rekap Stock Barang'!$A$7:$G$153,2,0),"")</f>
        <v xml:space="preserve">Bumbu Gule </v>
      </c>
      <c r="D40" s="5">
        <v>12</v>
      </c>
    </row>
    <row r="41" spans="1:4" ht="16.5" x14ac:dyDescent="0.2">
      <c r="A41" s="21"/>
      <c r="B41" s="5" t="s">
        <v>174</v>
      </c>
      <c r="C41" s="3" t="str">
        <f>IFERROR(VLOOKUP(B41,'Rekap Stock Barang'!$A$7:$G$153,2,0),"")</f>
        <v>Terasi</v>
      </c>
      <c r="D41" s="5">
        <v>40</v>
      </c>
    </row>
    <row r="42" spans="1:4" ht="16.5" x14ac:dyDescent="0.2">
      <c r="A42" s="21"/>
      <c r="B42" s="5" t="s">
        <v>305</v>
      </c>
      <c r="C42" s="3" t="str">
        <f>IFERROR(VLOOKUP(B42,'Rekap Stock Barang'!$A$7:$G$153,2,0),"")</f>
        <v xml:space="preserve">Gula Halus </v>
      </c>
      <c r="D42" s="5">
        <v>2</v>
      </c>
    </row>
    <row r="43" spans="1:4" ht="16.5" x14ac:dyDescent="0.2">
      <c r="A43" s="21"/>
      <c r="B43" s="5" t="s">
        <v>185</v>
      </c>
      <c r="C43" s="3" t="str">
        <f>IFERROR(VLOOKUP(B43,'Rekap Stock Barang'!$A$7:$G$153,2,0),"")</f>
        <v xml:space="preserve">Tepung Ketan </v>
      </c>
      <c r="D43" s="5">
        <v>7</v>
      </c>
    </row>
    <row r="44" spans="1:4" ht="16.5" x14ac:dyDescent="0.2">
      <c r="A44" s="21"/>
      <c r="B44" s="5" t="s">
        <v>189</v>
      </c>
      <c r="C44" s="3" t="str">
        <f>IFERROR(VLOOKUP(B44,'Rekap Stock Barang'!$A$7:$G$153,2,0),"")</f>
        <v xml:space="preserve">Susu Evaporasi </v>
      </c>
      <c r="D44" s="5">
        <v>5</v>
      </c>
    </row>
    <row r="45" spans="1:4" ht="16.5" x14ac:dyDescent="0.2">
      <c r="A45" s="21"/>
      <c r="B45" s="5" t="s">
        <v>293</v>
      </c>
      <c r="C45" s="3" t="str">
        <f>IFERROR(VLOOKUP(B45,'Rekap Stock Barang'!$A$7:$G$153,2,0),"")</f>
        <v>Susu Kental Manis Carnation</v>
      </c>
      <c r="D45" s="5">
        <v>6</v>
      </c>
    </row>
    <row r="46" spans="1:4" ht="16.5" x14ac:dyDescent="0.2">
      <c r="A46" s="22"/>
      <c r="B46" s="5" t="s">
        <v>266</v>
      </c>
      <c r="C46" s="3" t="str">
        <f>IFERROR(VLOOKUP(B46,'Rekap Stock Barang'!$A$7:$G$153,2,0),"")</f>
        <v>Tepung Terigu</v>
      </c>
      <c r="D46" s="5">
        <v>2</v>
      </c>
    </row>
    <row r="47" spans="1:4" ht="16.5" x14ac:dyDescent="0.2">
      <c r="A47" s="22"/>
      <c r="B47" s="5" t="s">
        <v>154</v>
      </c>
      <c r="C47" s="3" t="str">
        <f>IFERROR(VLOOKUP(B47,'Rekap Stock Barang'!$A$7:$G$153,2,0),"")</f>
        <v>Plastik Bima uk.15</v>
      </c>
      <c r="D47" s="5">
        <v>1</v>
      </c>
    </row>
    <row r="48" spans="1:4" ht="16.5" x14ac:dyDescent="0.2">
      <c r="A48" s="28"/>
      <c r="B48" s="5" t="s">
        <v>26</v>
      </c>
      <c r="C48" s="3" t="str">
        <f>IFERROR(VLOOKUP(B48,'Rekap Stock Barang'!$A$7:$G$153,2,0),"")</f>
        <v xml:space="preserve">Teri Pete </v>
      </c>
      <c r="D48" s="5">
        <v>31</v>
      </c>
    </row>
    <row r="49" spans="1:4" ht="17.25" thickBot="1" x14ac:dyDescent="0.25">
      <c r="A49" s="73"/>
      <c r="B49" s="71" t="s">
        <v>292</v>
      </c>
      <c r="C49" s="72" t="str">
        <f>IFERROR(VLOOKUP(B49,'Rekap Stock Barang'!$A$7:$G$153,2,0),"")</f>
        <v>Sambal Kuning</v>
      </c>
      <c r="D49" s="71">
        <v>3</v>
      </c>
    </row>
    <row r="50" spans="1:4" ht="16.5" x14ac:dyDescent="0.2">
      <c r="A50" s="68">
        <v>46272</v>
      </c>
      <c r="B50" s="15" t="s">
        <v>20</v>
      </c>
      <c r="C50" s="34" t="str">
        <f>IFERROR(VLOOKUP(B50,'Rekap Stock Barang'!$A$7:$G$153,2,0),"")</f>
        <v>Cumi</v>
      </c>
      <c r="D50" s="15">
        <v>127</v>
      </c>
    </row>
    <row r="51" spans="1:4" ht="16.5" x14ac:dyDescent="0.2">
      <c r="A51" s="21"/>
      <c r="B51" s="5" t="s">
        <v>119</v>
      </c>
      <c r="C51" s="3" t="str">
        <f>IFERROR(VLOOKUP(B51,'Rekap Stock Barang'!$A$7:$G$153,2,0),"")</f>
        <v>Tepung Telur</v>
      </c>
      <c r="D51" s="5">
        <v>30</v>
      </c>
    </row>
    <row r="52" spans="1:4" ht="16.5" x14ac:dyDescent="0.2">
      <c r="A52" s="22"/>
      <c r="B52" s="5" t="s">
        <v>175</v>
      </c>
      <c r="C52" s="3" t="str">
        <f>IFERROR(VLOOKUP(B52,'Rekap Stock Barang'!$A$7:$G$153,2,0),"")</f>
        <v>Mineral</v>
      </c>
      <c r="D52" s="5">
        <v>480</v>
      </c>
    </row>
    <row r="53" spans="1:4" ht="17.25" thickBot="1" x14ac:dyDescent="0.25">
      <c r="A53" s="65" t="s">
        <v>277</v>
      </c>
      <c r="B53" s="66" t="s">
        <v>236</v>
      </c>
      <c r="C53" s="67" t="str">
        <f>IFERROR(VLOOKUP(B53,'Rekap Stock Barang'!$A$7:$G$153,2,0),"")</f>
        <v xml:space="preserve">Paha Gurih Manis </v>
      </c>
      <c r="D53" s="66">
        <v>1</v>
      </c>
    </row>
    <row r="54" spans="1:4" ht="16.5" x14ac:dyDescent="0.2">
      <c r="A54" s="68">
        <v>46273</v>
      </c>
      <c r="B54" s="15" t="s">
        <v>271</v>
      </c>
      <c r="C54" s="34" t="str">
        <f>IFERROR(VLOOKUP(B54,'Rekap Stock Barang'!$A$7:$G$153,2,0),"")</f>
        <v>Plastik Soup XS</v>
      </c>
      <c r="D54" s="15">
        <v>20</v>
      </c>
    </row>
    <row r="55" spans="1:4" ht="16.5" x14ac:dyDescent="0.2">
      <c r="A55" s="21"/>
      <c r="B55" s="5" t="s">
        <v>310</v>
      </c>
      <c r="C55" s="3" t="str">
        <f>IFERROR(VLOOKUP(B55,'Rekap Stock Barang'!$A$7:$G$153,2,0),"")</f>
        <v>Take Away Box M</v>
      </c>
      <c r="D55" s="5">
        <v>10</v>
      </c>
    </row>
    <row r="56" spans="1:4" ht="16.5" x14ac:dyDescent="0.2">
      <c r="A56" s="22"/>
      <c r="B56" s="5" t="s">
        <v>22</v>
      </c>
      <c r="C56" s="3" t="str">
        <f>IFERROR(VLOOKUP(B56,'Rekap Stock Barang'!$A$7:$G$153,2,0),"")</f>
        <v>Kulit</v>
      </c>
      <c r="D56" s="5">
        <v>51</v>
      </c>
    </row>
    <row r="57" spans="1:4" ht="16.5" x14ac:dyDescent="0.2">
      <c r="A57" s="21"/>
      <c r="B57" s="5" t="s">
        <v>292</v>
      </c>
      <c r="C57" s="3" t="str">
        <f>IFERROR(VLOOKUP(B57,'Rekap Stock Barang'!$A$7:$G$153,2,0),"")</f>
        <v>Sambal Kuning</v>
      </c>
      <c r="D57" s="5">
        <v>7</v>
      </c>
    </row>
    <row r="58" spans="1:4" ht="17.25" thickBot="1" x14ac:dyDescent="0.25">
      <c r="A58" s="61"/>
      <c r="B58" s="71" t="s">
        <v>311</v>
      </c>
      <c r="C58" s="72" t="str">
        <f>IFERROR(VLOOKUP(B58,'Rekap Stock Barang'!$A$7:$G$153,2,0),"")</f>
        <v>Air Tahu</v>
      </c>
      <c r="D58" s="71">
        <v>15</v>
      </c>
    </row>
    <row r="59" spans="1:4" ht="16.5" x14ac:dyDescent="0.2">
      <c r="A59" s="68">
        <v>46274</v>
      </c>
      <c r="B59" s="15" t="s">
        <v>8</v>
      </c>
      <c r="C59" s="34" t="str">
        <f>IFERROR(VLOOKUP(B59,'Rekap Stock Barang'!$A$7:$G$153,2,0),"")</f>
        <v xml:space="preserve">Ayam Suwir </v>
      </c>
      <c r="D59" s="15">
        <v>42</v>
      </c>
    </row>
    <row r="60" spans="1:4" ht="17.25" thickBot="1" x14ac:dyDescent="0.25">
      <c r="A60" s="73"/>
      <c r="B60" s="71" t="s">
        <v>231</v>
      </c>
      <c r="C60" s="72" t="str">
        <f>IFERROR(VLOOKUP(B60,'Rekap Stock Barang'!$A$7:$G$153,2,0),"")</f>
        <v>Tahu Aci</v>
      </c>
      <c r="D60" s="71">
        <v>9</v>
      </c>
    </row>
    <row r="61" spans="1:4" ht="16.5" x14ac:dyDescent="0.2">
      <c r="A61" s="68">
        <v>46276</v>
      </c>
      <c r="B61" s="15" t="s">
        <v>308</v>
      </c>
      <c r="C61" s="34" t="str">
        <f>IFERROR(VLOOKUP(B61,'Rekap Stock Barang'!$A$7:$G$153,2,0),"")</f>
        <v xml:space="preserve">Bumbu Lidah </v>
      </c>
      <c r="D61" s="15">
        <v>5</v>
      </c>
    </row>
    <row r="62" spans="1:4" ht="16.5" x14ac:dyDescent="0.2">
      <c r="A62" s="21"/>
      <c r="B62" s="5" t="s">
        <v>14</v>
      </c>
      <c r="C62" s="3" t="str">
        <f>IFERROR(VLOOKUP(B62,'Rekap Stock Barang'!$A$7:$G$153,2,0),"")</f>
        <v>Ayam Jamur</v>
      </c>
      <c r="D62" s="5">
        <v>55</v>
      </c>
    </row>
    <row r="63" spans="1:4" ht="16.5" x14ac:dyDescent="0.2">
      <c r="A63" s="21"/>
      <c r="B63" s="5" t="s">
        <v>8</v>
      </c>
      <c r="C63" s="3" t="str">
        <f>IFERROR(VLOOKUP(B63,'Rekap Stock Barang'!$A$7:$G$153,2,0),"")</f>
        <v xml:space="preserve">Ayam Suwir </v>
      </c>
      <c r="D63" s="5">
        <v>69</v>
      </c>
    </row>
    <row r="64" spans="1:4" ht="16.5" x14ac:dyDescent="0.2">
      <c r="A64" s="22"/>
      <c r="B64" s="5" t="s">
        <v>19</v>
      </c>
      <c r="C64" s="3" t="str">
        <f>IFERROR(VLOOKUP(B64,'Rekap Stock Barang'!$A$7:$G$153,2,0),"")</f>
        <v>Dada</v>
      </c>
      <c r="D64" s="5">
        <v>52</v>
      </c>
    </row>
    <row r="65" spans="1:4" ht="17.25" thickBot="1" x14ac:dyDescent="0.25">
      <c r="A65" s="73"/>
      <c r="B65" s="71" t="s">
        <v>16</v>
      </c>
      <c r="C65" s="72" t="str">
        <f>IFERROR(VLOOKUP(B65,'Rekap Stock Barang'!$A$7:$G$153,2,0),"")</f>
        <v>Paha</v>
      </c>
      <c r="D65" s="71">
        <v>100</v>
      </c>
    </row>
    <row r="66" spans="1:4" ht="16.5" x14ac:dyDescent="0.2">
      <c r="A66" s="68">
        <v>46277</v>
      </c>
      <c r="B66" s="15" t="s">
        <v>252</v>
      </c>
      <c r="C66" s="34" t="str">
        <f>IFERROR(VLOOKUP(B66,'Rekap Stock Barang'!$A$7:$G$153,2,0),"")</f>
        <v xml:space="preserve">Ayam Suwir </v>
      </c>
      <c r="D66" s="15">
        <v>16</v>
      </c>
    </row>
    <row r="67" spans="1:4" ht="16.5" x14ac:dyDescent="0.2">
      <c r="A67" s="22"/>
      <c r="B67" s="5" t="s">
        <v>269</v>
      </c>
      <c r="C67" s="3" t="str">
        <f>IFERROR(VLOOKUP(B67,'Rekap Stock Barang'!$A$7:$G$153,2,0),"")</f>
        <v xml:space="preserve">Topping Kwetiau </v>
      </c>
      <c r="D67" s="5">
        <v>78</v>
      </c>
    </row>
    <row r="68" spans="1:4" ht="16.5" x14ac:dyDescent="0.2">
      <c r="A68" s="21"/>
      <c r="B68" s="5" t="s">
        <v>31</v>
      </c>
      <c r="C68" s="3" t="str">
        <f>IFERROR(VLOOKUP(B68,'Rekap Stock Barang'!$A$7:$G$153,2,0),"")</f>
        <v>Bagor</v>
      </c>
      <c r="D68" s="5">
        <v>87</v>
      </c>
    </row>
    <row r="69" spans="1:4" ht="16.5" x14ac:dyDescent="0.2">
      <c r="A69" s="28" t="s">
        <v>314</v>
      </c>
      <c r="B69" s="29" t="s">
        <v>20</v>
      </c>
      <c r="C69" s="75" t="str">
        <f>IFERROR(VLOOKUP(B69,'Rekap Stock Barang'!$A$7:$G$153,2,0),"")</f>
        <v>Cumi</v>
      </c>
      <c r="D69" s="29">
        <v>5</v>
      </c>
    </row>
    <row r="70" spans="1:4" ht="16.5" x14ac:dyDescent="0.2">
      <c r="A70" s="22"/>
      <c r="B70" s="5" t="s">
        <v>192</v>
      </c>
      <c r="C70" s="3" t="str">
        <f>IFERROR(VLOOKUP(B70,'Rekap Stock Barang'!$A$7:$G$153,2,0),"")</f>
        <v xml:space="preserve">Max Creamer </v>
      </c>
      <c r="D70" s="5">
        <v>1</v>
      </c>
    </row>
    <row r="71" spans="1:4" ht="16.5" x14ac:dyDescent="0.2">
      <c r="A71" s="22"/>
      <c r="B71" s="5" t="s">
        <v>290</v>
      </c>
      <c r="C71" s="3" t="str">
        <f>IFERROR(VLOOKUP(B71,'Rekap Stock Barang'!$A$7:$G$153,2,0),"")</f>
        <v>Bumbu Serundeng</v>
      </c>
      <c r="D71" s="5">
        <v>22</v>
      </c>
    </row>
    <row r="72" spans="1:4" ht="16.5" x14ac:dyDescent="0.2">
      <c r="A72" s="22"/>
      <c r="B72" s="5" t="s">
        <v>297</v>
      </c>
      <c r="C72" s="3" t="str">
        <f>IFERROR(VLOOKUP(B72,'Rekap Stock Barang'!$A$7:$G$153,2,0),"")</f>
        <v>Roti Bakar</v>
      </c>
      <c r="D72" s="5">
        <v>4</v>
      </c>
    </row>
    <row r="73" spans="1:4" ht="17.25" thickBot="1" x14ac:dyDescent="0.25">
      <c r="A73" s="61"/>
      <c r="B73" s="71" t="s">
        <v>233</v>
      </c>
      <c r="C73" s="72" t="str">
        <f>IFERROR(VLOOKUP(B73,'Rekap Stock Barang'!$A$7:$G$153,2,0),"")</f>
        <v>Roti Angsle</v>
      </c>
      <c r="D73" s="71">
        <v>1</v>
      </c>
    </row>
    <row r="74" spans="1:4" ht="16.5" x14ac:dyDescent="0.2">
      <c r="A74" s="68">
        <v>46279</v>
      </c>
      <c r="B74" s="15" t="s">
        <v>170</v>
      </c>
      <c r="C74" s="34" t="str">
        <f>IFERROR(VLOOKUP(B74,'Rekap Stock Barang'!$A$7:$G$153,2,0),"")</f>
        <v>Air Tahu</v>
      </c>
      <c r="D74" s="15">
        <v>15</v>
      </c>
    </row>
    <row r="75" spans="1:4" ht="16.5" x14ac:dyDescent="0.2">
      <c r="A75" s="21"/>
      <c r="B75" s="5" t="s">
        <v>197</v>
      </c>
      <c r="C75" s="3" t="str">
        <f>IFERROR(VLOOKUP(B75,'Rekap Stock Barang'!$A$7:$G$153,2,0),"")</f>
        <v xml:space="preserve">Dripp Pandan </v>
      </c>
      <c r="D75" s="5">
        <v>1</v>
      </c>
    </row>
    <row r="76" spans="1:4" ht="16.5" x14ac:dyDescent="0.2">
      <c r="A76" s="22"/>
      <c r="B76" s="5" t="s">
        <v>198</v>
      </c>
      <c r="C76" s="3" t="str">
        <f>IFERROR(VLOOKUP(B76,'Rekap Stock Barang'!$A$7:$G$153,2,0),"")</f>
        <v>Dripp Lhychee</v>
      </c>
      <c r="D76" s="5">
        <v>2</v>
      </c>
    </row>
    <row r="77" spans="1:4" ht="16.5" x14ac:dyDescent="0.2">
      <c r="A77" s="21"/>
      <c r="B77" s="5" t="s">
        <v>196</v>
      </c>
      <c r="C77" s="3" t="str">
        <f>IFERROR(VLOOKUP(B77,'Rekap Stock Barang'!$A$7:$G$153,2,0),"")</f>
        <v xml:space="preserve">Dripp Butterschotch </v>
      </c>
      <c r="D77" s="5">
        <v>1</v>
      </c>
    </row>
    <row r="78" spans="1:4" ht="16.5" x14ac:dyDescent="0.2">
      <c r="A78" s="21"/>
      <c r="B78" s="5" t="s">
        <v>90</v>
      </c>
      <c r="C78" s="3" t="str">
        <f>IFERROR(VLOOKUP(B78,'Rekap Stock Barang'!$A$7:$G$153,2,0),"")</f>
        <v>Lemon Tea</v>
      </c>
      <c r="D78" s="5">
        <v>2</v>
      </c>
    </row>
    <row r="79" spans="1:4" ht="17.25" thickBot="1" x14ac:dyDescent="0.25">
      <c r="A79" s="73"/>
      <c r="B79" s="71" t="s">
        <v>279</v>
      </c>
      <c r="C79" s="72" t="str">
        <f>IFERROR(VLOOKUP(B79,'Rekap Stock Barang'!$A$7:$G$153,2,0),"")</f>
        <v>Lidah Goreng Segara</v>
      </c>
      <c r="D79" s="71">
        <v>39</v>
      </c>
    </row>
    <row r="80" spans="1:4" ht="16.5" x14ac:dyDescent="0.2">
      <c r="A80" s="68">
        <v>46280</v>
      </c>
      <c r="B80" s="15" t="s">
        <v>73</v>
      </c>
      <c r="C80" s="34" t="str">
        <f>IFERROR(VLOOKUP(B80,'Rekap Stock Barang'!$A$7:$G$153,2,0),"")</f>
        <v>Milo</v>
      </c>
      <c r="D80" s="15">
        <v>3</v>
      </c>
    </row>
    <row r="81" spans="1:4" ht="16.5" x14ac:dyDescent="0.2">
      <c r="A81" s="22"/>
      <c r="B81" s="5" t="s">
        <v>192</v>
      </c>
      <c r="C81" s="3" t="str">
        <f>IFERROR(VLOOKUP(B81,'Rekap Stock Barang'!$A$7:$G$153,2,0),"")</f>
        <v xml:space="preserve">Max Creamer </v>
      </c>
      <c r="D81" s="5">
        <v>3</v>
      </c>
    </row>
    <row r="82" spans="1:4" ht="16.5" x14ac:dyDescent="0.2">
      <c r="A82" s="22"/>
      <c r="B82" s="5" t="s">
        <v>204</v>
      </c>
      <c r="C82" s="3" t="str">
        <f>IFERROR(VLOOKUP(B82,'Rekap Stock Barang'!$A$7:$G$153,2,0),"")</f>
        <v xml:space="preserve">Gula </v>
      </c>
      <c r="D82" s="5">
        <v>5</v>
      </c>
    </row>
    <row r="83" spans="1:4" ht="16.5" x14ac:dyDescent="0.2">
      <c r="A83" s="21"/>
      <c r="B83" s="5" t="s">
        <v>280</v>
      </c>
      <c r="C83" s="3" t="str">
        <f>IFERROR(VLOOKUP(B83,'Rekap Stock Barang'!$A$7:$G$153,2,0),"")</f>
        <v xml:space="preserve">Bumbu Racik </v>
      </c>
      <c r="D83" s="5">
        <v>10</v>
      </c>
    </row>
    <row r="84" spans="1:4" ht="16.5" x14ac:dyDescent="0.2">
      <c r="A84" s="22"/>
      <c r="B84" s="5" t="s">
        <v>187</v>
      </c>
      <c r="C84" s="3" t="str">
        <f>IFERROR(VLOOKUP(B84,'Rekap Stock Barang'!$A$7:$G$153,2,0),"")</f>
        <v xml:space="preserve">Tepung Tapioka </v>
      </c>
      <c r="D84" s="5">
        <v>7</v>
      </c>
    </row>
    <row r="85" spans="1:4" ht="16.5" x14ac:dyDescent="0.2">
      <c r="A85" s="22"/>
      <c r="B85" s="5" t="s">
        <v>266</v>
      </c>
      <c r="C85" s="3" t="str">
        <f>IFERROR(VLOOKUP(B85,'Rekap Stock Barang'!$A$7:$G$153,2,0),"")</f>
        <v>Tepung Terigu</v>
      </c>
      <c r="D85" s="5">
        <v>6</v>
      </c>
    </row>
    <row r="86" spans="1:4" ht="16.5" x14ac:dyDescent="0.2">
      <c r="A86" s="21"/>
      <c r="B86" s="5" t="s">
        <v>24</v>
      </c>
      <c r="C86" s="3" t="str">
        <f>IFERROR(VLOOKUP(B86,'Rekap Stock Barang'!$A$7:$G$153,2,0),"")</f>
        <v xml:space="preserve">Lidah </v>
      </c>
      <c r="D86" s="5">
        <v>19</v>
      </c>
    </row>
    <row r="87" spans="1:4" ht="16.5" x14ac:dyDescent="0.2">
      <c r="A87" s="22"/>
      <c r="B87" s="5" t="s">
        <v>254</v>
      </c>
      <c r="C87" s="3" t="str">
        <f>IFERROR(VLOOKUP(B87,'Rekap Stock Barang'!$A$7:$G$153,2,0),"")</f>
        <v>Kunci Mas</v>
      </c>
      <c r="D87" s="5">
        <v>6</v>
      </c>
    </row>
    <row r="88" spans="1:4" ht="16.5" x14ac:dyDescent="0.2">
      <c r="A88" s="22"/>
      <c r="B88" s="5" t="s">
        <v>238</v>
      </c>
      <c r="C88" s="3" t="str">
        <f>IFERROR(VLOOKUP(B88,'Rekap Stock Barang'!$A$7:$G$153,2,0),"")</f>
        <v>Sayap Goreng</v>
      </c>
      <c r="D88" s="5">
        <v>25</v>
      </c>
    </row>
    <row r="89" spans="1:4" ht="16.5" x14ac:dyDescent="0.2">
      <c r="A89" s="28" t="s">
        <v>277</v>
      </c>
      <c r="B89" s="28" t="s">
        <v>252</v>
      </c>
      <c r="C89" s="74" t="str">
        <f>IFERROR(VLOOKUP(B89,'Rekap Stock Barang'!$A$7:$G$153,2,0),"")</f>
        <v xml:space="preserve">Ayam Suwir </v>
      </c>
      <c r="D89" s="28">
        <v>1</v>
      </c>
    </row>
    <row r="90" spans="1:4" ht="16.5" x14ac:dyDescent="0.2">
      <c r="A90" s="28" t="s">
        <v>277</v>
      </c>
      <c r="B90" s="28" t="s">
        <v>19</v>
      </c>
      <c r="C90" s="74" t="str">
        <f>IFERROR(VLOOKUP(B90,'Rekap Stock Barang'!$A$7:$G$153,2,0),"")</f>
        <v>Dada</v>
      </c>
      <c r="D90" s="28">
        <v>2</v>
      </c>
    </row>
    <row r="91" spans="1:4" ht="16.5" x14ac:dyDescent="0.2">
      <c r="A91" s="28" t="s">
        <v>277</v>
      </c>
      <c r="B91" s="29" t="s">
        <v>20</v>
      </c>
      <c r="C91" s="75" t="str">
        <f>IFERROR(VLOOKUP(B91,'Rekap Stock Barang'!$A$7:$G$153,2,0),"")</f>
        <v>Cumi</v>
      </c>
      <c r="D91" s="29">
        <v>1</v>
      </c>
    </row>
    <row r="92" spans="1:4" ht="17.25" thickBot="1" x14ac:dyDescent="0.25">
      <c r="A92" s="77" t="s">
        <v>277</v>
      </c>
      <c r="B92" s="66" t="s">
        <v>312</v>
      </c>
      <c r="C92" s="67" t="str">
        <f>IFERROR(VLOOKUP(B92,'Rekap Stock Barang'!$A$7:$G$153,2,0),"")</f>
        <v>Sambal Terong</v>
      </c>
      <c r="D92" s="66">
        <v>2</v>
      </c>
    </row>
    <row r="93" spans="1:4" ht="16.5" x14ac:dyDescent="0.2">
      <c r="A93" s="68">
        <v>46282</v>
      </c>
      <c r="B93" s="15" t="s">
        <v>252</v>
      </c>
      <c r="C93" s="34" t="str">
        <f>IFERROR(VLOOKUP(B93,'Rekap Stock Barang'!$A$7:$G$153,2,0),"")</f>
        <v xml:space="preserve">Ayam Suwir </v>
      </c>
      <c r="D93" s="15">
        <v>59</v>
      </c>
    </row>
    <row r="94" spans="1:4" ht="16.5" x14ac:dyDescent="0.2">
      <c r="A94" s="22"/>
      <c r="B94" s="5" t="s">
        <v>319</v>
      </c>
      <c r="C94" s="3" t="str">
        <f>IFERROR(VLOOKUP(B94,'Rekap Stock Barang'!$A$7:$G$153,2,0),"")</f>
        <v xml:space="preserve">Paha Gurih Manis </v>
      </c>
      <c r="D94" s="5">
        <v>60</v>
      </c>
    </row>
    <row r="95" spans="1:4" ht="16.5" x14ac:dyDescent="0.2">
      <c r="A95" s="21"/>
      <c r="B95" s="5" t="s">
        <v>268</v>
      </c>
      <c r="C95" s="3" t="str">
        <f>IFERROR(VLOOKUP(B95,'Rekap Stock Barang'!$A$7:$G$153,2,0),"")</f>
        <v>Dada Gurih Manis</v>
      </c>
      <c r="D95" s="5">
        <v>40</v>
      </c>
    </row>
    <row r="96" spans="1:4" ht="17.25" thickBot="1" x14ac:dyDescent="0.25">
      <c r="A96" s="73"/>
      <c r="B96" s="71" t="s">
        <v>263</v>
      </c>
      <c r="C96" s="72" t="str">
        <f>IFERROR(VLOOKUP(B96,'Rekap Stock Barang'!$A$7:$G$153,2,0),"")</f>
        <v>Sambal Terasi</v>
      </c>
      <c r="D96" s="71">
        <v>7</v>
      </c>
    </row>
    <row r="97" spans="1:4" ht="16.5" x14ac:dyDescent="0.2">
      <c r="A97" s="68">
        <v>46283</v>
      </c>
      <c r="B97" s="15" t="s">
        <v>282</v>
      </c>
      <c r="C97" s="34" t="str">
        <f>IFERROR(VLOOKUP(B97,'Rekap Stock Barang'!$A$7:$G$153,2,0),"")</f>
        <v>Bumbu Kwetiau</v>
      </c>
      <c r="D97" s="15">
        <v>4</v>
      </c>
    </row>
    <row r="98" spans="1:4" ht="16.5" x14ac:dyDescent="0.2">
      <c r="A98" s="21"/>
      <c r="B98" s="5" t="s">
        <v>10</v>
      </c>
      <c r="C98" s="3" t="str">
        <f>IFERROR(VLOOKUP(B98,'Rekap Stock Barang'!$A$7:$G$153,2,0),"")</f>
        <v>Topping Mbakmoy</v>
      </c>
      <c r="D98" s="5">
        <v>20</v>
      </c>
    </row>
    <row r="99" spans="1:4" ht="16.5" x14ac:dyDescent="0.2">
      <c r="A99" s="22"/>
      <c r="B99" s="5" t="s">
        <v>119</v>
      </c>
      <c r="C99" s="3" t="str">
        <f>IFERROR(VLOOKUP(B99,'Rekap Stock Barang'!$A$7:$G$153,2,0),"")</f>
        <v>Tepung Telur</v>
      </c>
      <c r="D99" s="5">
        <v>23</v>
      </c>
    </row>
    <row r="100" spans="1:4" ht="17.25" thickBot="1" x14ac:dyDescent="0.25">
      <c r="A100" s="77" t="s">
        <v>277</v>
      </c>
      <c r="B100" s="66" t="s">
        <v>19</v>
      </c>
      <c r="C100" s="67" t="str">
        <f>IFERROR(VLOOKUP(B100,'Rekap Stock Barang'!$A$7:$G$153,2,0),"")</f>
        <v>Dada</v>
      </c>
      <c r="D100" s="66">
        <v>1</v>
      </c>
    </row>
    <row r="101" spans="1:4" ht="17.25" thickBot="1" x14ac:dyDescent="0.25">
      <c r="A101" s="73">
        <v>46284</v>
      </c>
      <c r="B101" s="78" t="s">
        <v>177</v>
      </c>
      <c r="C101" s="79" t="str">
        <f>IFERROR(VLOOKUP(B101,'Rekap Stock Barang'!$A$7:$G$153,2,0),"")</f>
        <v>Sambal Baby Cumi</v>
      </c>
      <c r="D101" s="78">
        <v>164</v>
      </c>
    </row>
    <row r="102" spans="1:4" ht="16.5" x14ac:dyDescent="0.2">
      <c r="A102" s="68">
        <v>46285</v>
      </c>
      <c r="B102" s="15" t="s">
        <v>170</v>
      </c>
      <c r="C102" s="34" t="str">
        <f>IFERROR(VLOOKUP(B102,'Rekap Stock Barang'!$A$7:$G$153,2,0),"")</f>
        <v>Air Tahu</v>
      </c>
      <c r="D102" s="15">
        <v>15</v>
      </c>
    </row>
    <row r="103" spans="1:4" ht="16.5" x14ac:dyDescent="0.2">
      <c r="A103" s="22"/>
      <c r="B103" s="5" t="s">
        <v>324</v>
      </c>
      <c r="C103" s="3" t="str">
        <f>IFERROR(VLOOKUP(B103,'Rekap Stock Barang'!$A$7:$G$153,2,0),"")</f>
        <v xml:space="preserve">Manggo Juice </v>
      </c>
      <c r="D103" s="5">
        <v>33</v>
      </c>
    </row>
    <row r="104" spans="1:4" ht="16.5" x14ac:dyDescent="0.2">
      <c r="A104" s="21"/>
      <c r="B104" s="5" t="s">
        <v>226</v>
      </c>
      <c r="C104" s="3" t="str">
        <f>IFERROR(VLOOKUP(B104,'Rekap Stock Barang'!$A$7:$G$153,2,0),"")</f>
        <v>Mix Berries</v>
      </c>
      <c r="D104" s="5">
        <v>40</v>
      </c>
    </row>
    <row r="105" spans="1:4" ht="16.5" x14ac:dyDescent="0.2">
      <c r="A105" s="22"/>
      <c r="B105" s="5" t="s">
        <v>223</v>
      </c>
      <c r="C105" s="3" t="str">
        <f>IFERROR(VLOOKUP(B105,'Rekap Stock Barang'!$A$7:$G$153,2,0),"")</f>
        <v>Sirsak Juice</v>
      </c>
      <c r="D105" s="5">
        <v>26</v>
      </c>
    </row>
    <row r="106" spans="1:4" ht="16.5" x14ac:dyDescent="0.2">
      <c r="A106" s="21"/>
      <c r="B106" s="5" t="s">
        <v>184</v>
      </c>
      <c r="C106" s="3" t="str">
        <f>IFERROR(VLOOKUP(B106,'Rekap Stock Barang'!$A$7:$G$153,2,0),"")</f>
        <v xml:space="preserve">Tepung Maizena </v>
      </c>
      <c r="D106" s="5">
        <v>6</v>
      </c>
    </row>
    <row r="107" spans="1:4" ht="16.5" x14ac:dyDescent="0.2">
      <c r="A107" s="21"/>
      <c r="B107" s="5" t="s">
        <v>266</v>
      </c>
      <c r="C107" s="3" t="str">
        <f>IFERROR(VLOOKUP(B107,'Rekap Stock Barang'!$A$7:$G$153,2,0),"")</f>
        <v>Tepung Terigu</v>
      </c>
      <c r="D107" s="5">
        <v>5</v>
      </c>
    </row>
    <row r="108" spans="1:4" ht="16.5" x14ac:dyDescent="0.2">
      <c r="A108" s="22"/>
      <c r="B108" s="5" t="s">
        <v>195</v>
      </c>
      <c r="C108" s="3" t="str">
        <f>IFERROR(VLOOKUP(B108,'Rekap Stock Barang'!$A$7:$G$153,2,0),"")</f>
        <v xml:space="preserve">Keju </v>
      </c>
      <c r="D108" s="5">
        <v>2</v>
      </c>
    </row>
    <row r="109" spans="1:4" ht="16.5" x14ac:dyDescent="0.2">
      <c r="A109" s="21"/>
      <c r="B109" s="5" t="s">
        <v>293</v>
      </c>
      <c r="C109" s="3" t="str">
        <f>IFERROR(VLOOKUP(B109,'Rekap Stock Barang'!$A$7:$G$153,2,0),"")</f>
        <v>Susu Kental Manis Carnation</v>
      </c>
      <c r="D109" s="5">
        <v>2</v>
      </c>
    </row>
    <row r="110" spans="1:4" ht="16.5" x14ac:dyDescent="0.2">
      <c r="A110" s="21"/>
      <c r="B110" s="5" t="s">
        <v>189</v>
      </c>
      <c r="C110" s="3" t="str">
        <f>IFERROR(VLOOKUP(B110,'Rekap Stock Barang'!$A$7:$G$153,2,0),"")</f>
        <v xml:space="preserve">Susu Evaporasi </v>
      </c>
      <c r="D110" s="5">
        <v>8</v>
      </c>
    </row>
    <row r="111" spans="1:4" ht="16.5" x14ac:dyDescent="0.2">
      <c r="A111" s="21"/>
      <c r="B111" s="5" t="s">
        <v>210</v>
      </c>
      <c r="C111" s="3" t="str">
        <f>IFERROR(VLOOKUP(B111,'Rekap Stock Barang'!$A$7:$G$153,2,0),"")</f>
        <v>Nata Decoco</v>
      </c>
      <c r="D111" s="5">
        <v>2</v>
      </c>
    </row>
    <row r="112" spans="1:4" ht="16.5" x14ac:dyDescent="0.2">
      <c r="A112" s="21"/>
      <c r="B112" s="5" t="s">
        <v>306</v>
      </c>
      <c r="C112" s="3" t="str">
        <f>IFERROR(VLOOKUP(B112,'Rekap Stock Barang'!$A$7:$G$153,2,0),"")</f>
        <v>Raja Rasa</v>
      </c>
      <c r="D112" s="5">
        <v>2</v>
      </c>
    </row>
    <row r="113" spans="1:4" ht="16.5" x14ac:dyDescent="0.2">
      <c r="A113" s="22"/>
      <c r="B113" s="5" t="s">
        <v>208</v>
      </c>
      <c r="C113" s="3" t="str">
        <f>IFERROR(VLOOKUP(B113,'Rekap Stock Barang'!$A$7:$G$153,2,0),"")</f>
        <v>Kecap Ikan Tipparos</v>
      </c>
      <c r="D113" s="5">
        <v>1</v>
      </c>
    </row>
    <row r="114" spans="1:4" ht="16.5" x14ac:dyDescent="0.2">
      <c r="A114" s="21"/>
      <c r="B114" s="5" t="s">
        <v>174</v>
      </c>
      <c r="C114" s="3" t="str">
        <f>IFERROR(VLOOKUP(B114,'Rekap Stock Barang'!$A$7:$G$153,2,0),"")</f>
        <v>Terasi</v>
      </c>
      <c r="D114" s="5">
        <v>40</v>
      </c>
    </row>
    <row r="115" spans="1:4" ht="16.5" x14ac:dyDescent="0.2">
      <c r="A115" s="22"/>
      <c r="B115" s="5" t="s">
        <v>207</v>
      </c>
      <c r="C115" s="3" t="str">
        <f>IFERROR(VLOOKUP(B115,'Rekap Stock Barang'!$A$7:$G$153,2,0),"")</f>
        <v>Knorr</v>
      </c>
      <c r="D115" s="5">
        <v>1</v>
      </c>
    </row>
    <row r="116" spans="1:4" ht="16.5" x14ac:dyDescent="0.2">
      <c r="A116" s="22"/>
      <c r="B116" s="5" t="s">
        <v>325</v>
      </c>
      <c r="C116" s="3" t="str">
        <f>IFERROR(VLOOKUP(B116,'Rekap Stock Barang'!$A$7:$G$153,2,0),"")</f>
        <v xml:space="preserve">Topping Nasi Gila </v>
      </c>
      <c r="D116" s="5">
        <v>48</v>
      </c>
    </row>
    <row r="117" spans="1:4" ht="16.5" x14ac:dyDescent="0.2">
      <c r="A117" s="28"/>
      <c r="B117" s="5" t="s">
        <v>269</v>
      </c>
      <c r="C117" s="3" t="str">
        <f>IFERROR(VLOOKUP(B117,'Rekap Stock Barang'!$A$7:$G$153,2,0),"")</f>
        <v xml:space="preserve">Topping Kwetiau </v>
      </c>
      <c r="D117" s="29">
        <v>10</v>
      </c>
    </row>
    <row r="118" spans="1:4" ht="16.5" x14ac:dyDescent="0.2">
      <c r="A118" s="21"/>
      <c r="B118" s="5" t="s">
        <v>275</v>
      </c>
      <c r="C118" s="3" t="str">
        <f>IFERROR(VLOOKUP(B118,'Rekap Stock Barang'!$A$7:$G$153,2,0),"")</f>
        <v xml:space="preserve">Teri Pete </v>
      </c>
      <c r="D118" s="5">
        <v>29</v>
      </c>
    </row>
    <row r="119" spans="1:4" ht="16.5" x14ac:dyDescent="0.2">
      <c r="A119" s="22"/>
      <c r="B119" s="5" t="s">
        <v>181</v>
      </c>
      <c r="C119" s="3" t="str">
        <f>IFERROR(VLOOKUP(B119,'Rekap Stock Barang'!$A$7:$G$153,2,0),"")</f>
        <v xml:space="preserve">Sagu Mutiara </v>
      </c>
      <c r="D119" s="5">
        <v>6</v>
      </c>
    </row>
    <row r="120" spans="1:4" ht="16.5" x14ac:dyDescent="0.2">
      <c r="A120" s="21"/>
      <c r="B120" s="5" t="s">
        <v>279</v>
      </c>
      <c r="C120" s="3" t="str">
        <f>IFERROR(VLOOKUP(B120,'Rekap Stock Barang'!$A$7:$G$153,2,0),"")</f>
        <v>Lidah Goreng Segara</v>
      </c>
      <c r="D120" s="5">
        <v>20</v>
      </c>
    </row>
    <row r="121" spans="1:4" ht="16.5" x14ac:dyDescent="0.2">
      <c r="A121" s="80"/>
      <c r="B121" s="16" t="s">
        <v>288</v>
      </c>
      <c r="C121" s="39" t="str">
        <f>IFERROR(VLOOKUP(B121,'Rekap Stock Barang'!$A$7:$G$153,2,0),"")</f>
        <v>Pete</v>
      </c>
      <c r="D121" s="16">
        <v>10</v>
      </c>
    </row>
    <row r="122" spans="1:4" ht="17.25" thickBot="1" x14ac:dyDescent="0.25">
      <c r="A122" s="77" t="s">
        <v>287</v>
      </c>
      <c r="B122" s="66" t="s">
        <v>319</v>
      </c>
      <c r="C122" s="67" t="str">
        <f>IFERROR(VLOOKUP(B122,'Rekap Stock Barang'!$A$7:$G$153,2,0),"")</f>
        <v xml:space="preserve">Paha Gurih Manis </v>
      </c>
      <c r="D122" s="66">
        <v>1</v>
      </c>
    </row>
    <row r="123" spans="1:4" ht="16.5" x14ac:dyDescent="0.2">
      <c r="A123" s="68">
        <v>46286</v>
      </c>
      <c r="B123" s="15" t="s">
        <v>270</v>
      </c>
      <c r="C123" s="34" t="str">
        <f>IFERROR(VLOOKUP(B123,'Rekap Stock Barang'!$A$7:$G$153,2,0),"")</f>
        <v>Tissue Toilet</v>
      </c>
      <c r="D123" s="15">
        <v>20</v>
      </c>
    </row>
    <row r="124" spans="1:4" ht="16.5" x14ac:dyDescent="0.2">
      <c r="A124" s="22"/>
      <c r="B124" s="5" t="s">
        <v>148</v>
      </c>
      <c r="C124" s="3" t="str">
        <f>IFERROR(VLOOKUP(B124,'Rekap Stock Barang'!$A$7:$G$153,2,0),"")</f>
        <v>Tissue Meja</v>
      </c>
      <c r="D124" s="5">
        <v>6</v>
      </c>
    </row>
    <row r="125" spans="1:4" ht="16.5" x14ac:dyDescent="0.2">
      <c r="A125" s="28"/>
      <c r="B125" s="5" t="s">
        <v>24</v>
      </c>
      <c r="C125" s="3" t="str">
        <f>IFERROR(VLOOKUP(B125,'Rekap Stock Barang'!$A$7:$G$153,2,0),"")</f>
        <v xml:space="preserve">Lidah </v>
      </c>
      <c r="D125" s="29">
        <v>15</v>
      </c>
    </row>
    <row r="126" spans="1:4" ht="16.5" x14ac:dyDescent="0.2">
      <c r="A126" s="28"/>
      <c r="B126" s="5" t="s">
        <v>238</v>
      </c>
      <c r="C126" s="3" t="str">
        <f>IFERROR(VLOOKUP(B126,'Rekap Stock Barang'!$A$7:$G$153,2,0),"")</f>
        <v>Sayap Goreng</v>
      </c>
      <c r="D126" s="29">
        <v>27</v>
      </c>
    </row>
    <row r="127" spans="1:4" ht="16.5" x14ac:dyDescent="0.2">
      <c r="A127" s="21"/>
      <c r="B127" s="22" t="s">
        <v>273</v>
      </c>
      <c r="C127" s="3" t="str">
        <f>IFERROR(VLOOKUP(B127,'Rekap Stock Barang'!$A$7:$G$153,2,0),"")</f>
        <v>Sambal Bawang</v>
      </c>
      <c r="D127" s="28">
        <v>10</v>
      </c>
    </row>
    <row r="128" spans="1:4" ht="16.5" x14ac:dyDescent="0.2">
      <c r="A128" s="22"/>
      <c r="B128" s="5" t="s">
        <v>252</v>
      </c>
      <c r="C128" s="3" t="str">
        <f>IFERROR(VLOOKUP(B128,'Rekap Stock Barang'!$A$7:$G$153,2,0),"")</f>
        <v xml:space="preserve">Ayam Suwir </v>
      </c>
      <c r="D128" s="5">
        <v>60</v>
      </c>
    </row>
    <row r="129" spans="1:4" ht="17.25" thickBot="1" x14ac:dyDescent="0.25">
      <c r="A129" s="73"/>
      <c r="B129" s="71" t="s">
        <v>269</v>
      </c>
      <c r="C129" s="72" t="str">
        <f>IFERROR(VLOOKUP(B129,'Rekap Stock Barang'!$A$7:$G$153,2,0),"")</f>
        <v xml:space="preserve">Topping Kwetiau </v>
      </c>
      <c r="D129" s="71">
        <v>35</v>
      </c>
    </row>
    <row r="130" spans="1:4" ht="16.5" x14ac:dyDescent="0.2">
      <c r="A130" s="68">
        <v>46287</v>
      </c>
      <c r="B130" s="15" t="s">
        <v>16</v>
      </c>
      <c r="C130" s="34" t="str">
        <f>IFERROR(VLOOKUP(B130,'Rekap Stock Barang'!$A$7:$G$153,2,0),"")</f>
        <v>Paha</v>
      </c>
      <c r="D130" s="15">
        <v>100</v>
      </c>
    </row>
    <row r="131" spans="1:4" ht="16.5" x14ac:dyDescent="0.2">
      <c r="A131" s="21"/>
      <c r="B131" s="5" t="s">
        <v>19</v>
      </c>
      <c r="C131" s="3" t="str">
        <f>IFERROR(VLOOKUP(B131,'Rekap Stock Barang'!$A$7:$G$153,2,0),"")</f>
        <v>Dada</v>
      </c>
      <c r="D131" s="5">
        <v>75</v>
      </c>
    </row>
    <row r="132" spans="1:4" ht="16.5" x14ac:dyDescent="0.2">
      <c r="A132" s="22"/>
      <c r="B132" s="5" t="s">
        <v>22</v>
      </c>
      <c r="C132" s="3" t="str">
        <f>IFERROR(VLOOKUP(B132,'Rekap Stock Barang'!$A$7:$G$153,2,0),"")</f>
        <v>Kulit</v>
      </c>
      <c r="D132" s="5">
        <v>96</v>
      </c>
    </row>
    <row r="133" spans="1:4" ht="16.5" x14ac:dyDescent="0.2">
      <c r="A133" s="22"/>
      <c r="B133" s="5" t="s">
        <v>14</v>
      </c>
      <c r="C133" s="3" t="str">
        <f>IFERROR(VLOOKUP(B133,'Rekap Stock Barang'!$A$7:$G$153,2,0),"")</f>
        <v>Ayam Jamur</v>
      </c>
      <c r="D133" s="5">
        <v>40</v>
      </c>
    </row>
    <row r="134" spans="1:4" ht="16.5" x14ac:dyDescent="0.2">
      <c r="A134" s="21"/>
      <c r="B134" s="5" t="s">
        <v>24</v>
      </c>
      <c r="C134" s="3" t="str">
        <f>IFERROR(VLOOKUP(B134,'Rekap Stock Barang'!$A$7:$G$153,2,0),"")</f>
        <v xml:space="preserve">Lidah </v>
      </c>
      <c r="D134" s="5">
        <v>23</v>
      </c>
    </row>
    <row r="135" spans="1:4" ht="16.5" x14ac:dyDescent="0.2">
      <c r="A135" s="21"/>
      <c r="B135" s="5" t="s">
        <v>290</v>
      </c>
      <c r="C135" s="3" t="str">
        <f>IFERROR(VLOOKUP(B135,'Rekap Stock Barang'!$A$7:$G$153,2,0),"")</f>
        <v>Bumbu Serundeng</v>
      </c>
      <c r="D135" s="5">
        <v>18</v>
      </c>
    </row>
    <row r="136" spans="1:4" ht="17.25" thickBot="1" x14ac:dyDescent="0.25">
      <c r="A136" s="77"/>
      <c r="B136" s="66"/>
      <c r="C136" s="67" t="str">
        <f>IFERROR(VLOOKUP(B136,'Rekap Stock Barang'!$A$7:$G$153,2,0),"")</f>
        <v/>
      </c>
      <c r="D136" s="66"/>
    </row>
    <row r="137" spans="1:4" ht="16.5" x14ac:dyDescent="0.2">
      <c r="A137" s="68">
        <v>46288</v>
      </c>
      <c r="B137" s="15" t="s">
        <v>24</v>
      </c>
      <c r="C137" s="34" t="str">
        <f>IFERROR(VLOOKUP(B137,'Rekap Stock Barang'!$A$7:$G$153,2,0),"")</f>
        <v xml:space="preserve">Lidah </v>
      </c>
      <c r="D137" s="15">
        <v>8</v>
      </c>
    </row>
    <row r="138" spans="1:4" ht="16.5" x14ac:dyDescent="0.2">
      <c r="A138" s="21"/>
      <c r="B138" s="5" t="s">
        <v>279</v>
      </c>
      <c r="C138" s="3" t="str">
        <f>IFERROR(VLOOKUP(B138,'Rekap Stock Barang'!$A$7:$G$153,2,0),"")</f>
        <v>Lidah Goreng Segara</v>
      </c>
      <c r="D138" s="5">
        <v>28</v>
      </c>
    </row>
    <row r="139" spans="1:4" ht="16.5" x14ac:dyDescent="0.2">
      <c r="A139" s="22"/>
      <c r="B139" s="5" t="s">
        <v>292</v>
      </c>
      <c r="C139" s="3" t="str">
        <f>IFERROR(VLOOKUP(B139,'Rekap Stock Barang'!$A$7:$G$153,2,0),"")</f>
        <v>Sambal Kuning</v>
      </c>
      <c r="D139" s="5">
        <v>7</v>
      </c>
    </row>
    <row r="140" spans="1:4" ht="16.5" x14ac:dyDescent="0.2">
      <c r="A140" s="48" t="s">
        <v>329</v>
      </c>
      <c r="B140" s="29" t="s">
        <v>275</v>
      </c>
      <c r="C140" s="75" t="str">
        <f>IFERROR(VLOOKUP(B140,'Rekap Stock Barang'!$A$7:$G$153,2,0),"")</f>
        <v xml:space="preserve">Teri Pete </v>
      </c>
      <c r="D140" s="29">
        <v>1</v>
      </c>
    </row>
    <row r="141" spans="1:4" ht="16.5" x14ac:dyDescent="0.2">
      <c r="A141" s="21"/>
      <c r="B141" s="5" t="s">
        <v>229</v>
      </c>
      <c r="C141" s="3" t="str">
        <f>IFERROR(VLOOKUP(B141,'Rekap Stock Barang'!$A$7:$G$153,2,0),"")</f>
        <v xml:space="preserve">Manggo Juice </v>
      </c>
      <c r="D141" s="5">
        <v>10</v>
      </c>
    </row>
    <row r="142" spans="1:4" ht="16.5" x14ac:dyDescent="0.2">
      <c r="A142" s="28"/>
      <c r="B142" s="5" t="s">
        <v>223</v>
      </c>
      <c r="C142" s="3" t="str">
        <f>IFERROR(VLOOKUP(B142,'Rekap Stock Barang'!$A$7:$G$153,2,0),"")</f>
        <v>Sirsak Juice</v>
      </c>
      <c r="D142" s="5">
        <v>1</v>
      </c>
    </row>
    <row r="143" spans="1:4" ht="16.5" x14ac:dyDescent="0.2">
      <c r="A143" s="48"/>
      <c r="B143" s="5" t="s">
        <v>226</v>
      </c>
      <c r="C143" s="3" t="str">
        <f>IFERROR(VLOOKUP(B143,'Rekap Stock Barang'!$A$7:$G$153,2,0),"")</f>
        <v>Mix Berries</v>
      </c>
      <c r="D143" s="5">
        <v>10</v>
      </c>
    </row>
    <row r="144" spans="1:4" ht="16.5" x14ac:dyDescent="0.2">
      <c r="A144" s="21"/>
      <c r="B144" s="5" t="s">
        <v>170</v>
      </c>
      <c r="C144" s="3" t="str">
        <f>IFERROR(VLOOKUP(B144,'Rekap Stock Barang'!$A$7:$G$153,2,0),"")</f>
        <v>Air Tahu</v>
      </c>
      <c r="D144" s="5">
        <v>20</v>
      </c>
    </row>
    <row r="145" spans="1:4" ht="16.5" x14ac:dyDescent="0.2">
      <c r="A145" s="21"/>
      <c r="B145" s="5" t="s">
        <v>175</v>
      </c>
      <c r="C145" s="3" t="str">
        <f>IFERROR(VLOOKUP(B145,'Rekap Stock Barang'!$A$7:$G$153,2,0),"")</f>
        <v>Mineral</v>
      </c>
      <c r="D145" s="5">
        <v>480</v>
      </c>
    </row>
    <row r="146" spans="1:4" ht="16.5" x14ac:dyDescent="0.2">
      <c r="A146" s="21" t="s">
        <v>331</v>
      </c>
      <c r="B146" s="5" t="s">
        <v>233</v>
      </c>
      <c r="C146" s="3" t="str">
        <f>IFERROR(VLOOKUP(B146,'Rekap Stock Barang'!$A$7:$G$153,2,0),"")</f>
        <v>Roti Angsle</v>
      </c>
      <c r="D146" s="5">
        <v>1</v>
      </c>
    </row>
    <row r="147" spans="1:4" ht="16.5" x14ac:dyDescent="0.2">
      <c r="A147" s="21" t="s">
        <v>331</v>
      </c>
      <c r="B147" s="5" t="s">
        <v>203</v>
      </c>
      <c r="C147" s="3" t="str">
        <f>IFERROR(VLOOKUP(B147,'Rekap Stock Barang'!$A$7:$G$153,2,0),"")</f>
        <v>Apple Juice Diamond</v>
      </c>
      <c r="D147" s="5">
        <v>7</v>
      </c>
    </row>
    <row r="148" spans="1:4" ht="16.5" x14ac:dyDescent="0.2">
      <c r="A148" s="22"/>
      <c r="B148" s="5" t="s">
        <v>95</v>
      </c>
      <c r="C148" s="3" t="str">
        <f>IFERROR(VLOOKUP(B148,'Rekap Stock Barang'!$A$7:$G$153,2,0),"")</f>
        <v>Kopi</v>
      </c>
      <c r="D148" s="5">
        <v>1</v>
      </c>
    </row>
    <row r="149" spans="1:4" ht="16.5" x14ac:dyDescent="0.2">
      <c r="A149" s="22"/>
      <c r="B149" s="5" t="s">
        <v>70</v>
      </c>
      <c r="C149" s="3" t="str">
        <f>IFERROR(VLOOKUP(B149,'Rekap Stock Barang'!$A$7:$G$153,2,0),"")</f>
        <v>Susu Kental Manis Carnation</v>
      </c>
      <c r="D149" s="5">
        <v>10</v>
      </c>
    </row>
    <row r="150" spans="1:4" ht="17.25" thickBot="1" x14ac:dyDescent="0.25">
      <c r="A150" s="73"/>
      <c r="B150" s="71" t="s">
        <v>190</v>
      </c>
      <c r="C150" s="72" t="str">
        <f>IFERROR(VLOOKUP(B150,'Rekap Stock Barang'!$A$7:$G$153,2,0),"")</f>
        <v>Sun Cara 200Ml</v>
      </c>
      <c r="D150" s="71">
        <v>10</v>
      </c>
    </row>
    <row r="151" spans="1:4" ht="16.5" x14ac:dyDescent="0.2">
      <c r="A151" s="68">
        <v>46289</v>
      </c>
      <c r="B151" s="15" t="s">
        <v>243</v>
      </c>
      <c r="C151" s="34" t="str">
        <f>IFERROR(VLOOKUP(B151,'Rekap Stock Barang'!$A$7:$G$153,2,0),"")</f>
        <v xml:space="preserve">Daging Slice </v>
      </c>
      <c r="D151" s="15">
        <v>30</v>
      </c>
    </row>
    <row r="152" spans="1:4" ht="16.5" x14ac:dyDescent="0.2">
      <c r="A152" s="28"/>
      <c r="B152" s="29" t="s">
        <v>24</v>
      </c>
      <c r="C152" s="3" t="str">
        <f>IFERROR(VLOOKUP(B152,'Rekap Stock Barang'!$A$7:$G$153,2,0),"")</f>
        <v xml:space="preserve">Lidah </v>
      </c>
      <c r="D152" s="29">
        <v>15</v>
      </c>
    </row>
    <row r="153" spans="1:4" ht="16.5" x14ac:dyDescent="0.2">
      <c r="A153" s="21"/>
      <c r="B153" s="5" t="s">
        <v>296</v>
      </c>
      <c r="C153" s="3" t="str">
        <f>IFERROR(VLOOKUP(B153,'Rekap Stock Barang'!$A$7:$G$153,2,0),"")</f>
        <v xml:space="preserve">Bumbu Teri </v>
      </c>
      <c r="D153" s="5">
        <v>5</v>
      </c>
    </row>
    <row r="154" spans="1:4" ht="17.25" thickBot="1" x14ac:dyDescent="0.25">
      <c r="A154" s="73"/>
      <c r="B154" s="71" t="s">
        <v>308</v>
      </c>
      <c r="C154" s="72" t="str">
        <f>IFERROR(VLOOKUP(B154,'Rekap Stock Barang'!$A$7:$G$153,2,0),"")</f>
        <v xml:space="preserve">Bumbu Lidah </v>
      </c>
      <c r="D154" s="71">
        <v>5</v>
      </c>
    </row>
    <row r="155" spans="1:4" ht="16.5" x14ac:dyDescent="0.2">
      <c r="A155" s="68">
        <v>46290</v>
      </c>
      <c r="B155" s="15" t="s">
        <v>226</v>
      </c>
      <c r="C155" s="34" t="str">
        <f>IFERROR(VLOOKUP(B155,'Rekap Stock Barang'!$A$7:$G$153,2,0),"")</f>
        <v>Mix Berries</v>
      </c>
      <c r="D155" s="15">
        <v>10</v>
      </c>
    </row>
    <row r="156" spans="1:4" ht="16.5" x14ac:dyDescent="0.2">
      <c r="A156" s="22"/>
      <c r="B156" s="5" t="s">
        <v>320</v>
      </c>
      <c r="C156" s="3" t="str">
        <f>IFERROR(VLOOKUP(B156,'Rekap Stock Barang'!$A$7:$G$153,2,0),"")</f>
        <v>Minyak Beku</v>
      </c>
      <c r="D156" s="5">
        <v>6</v>
      </c>
    </row>
    <row r="157" spans="1:4" ht="16.5" x14ac:dyDescent="0.2">
      <c r="A157" s="22"/>
      <c r="B157" s="5" t="s">
        <v>291</v>
      </c>
      <c r="C157" s="3" t="str">
        <f>IFERROR(VLOOKUP(B157,'Rekap Stock Barang'!$A$7:$G$153,2,0),"")</f>
        <v>Kunci Mas</v>
      </c>
      <c r="D157" s="5">
        <v>6</v>
      </c>
    </row>
    <row r="158" spans="1:4" ht="16.5" x14ac:dyDescent="0.2">
      <c r="A158" s="21"/>
      <c r="B158" s="5" t="s">
        <v>333</v>
      </c>
      <c r="C158" s="3" t="str">
        <f>IFERROR(VLOOKUP(B158,'Rekap Stock Barang'!$A$7:$G$153,2,0),"")</f>
        <v>Pete Add On</v>
      </c>
      <c r="D158" s="5">
        <v>10</v>
      </c>
    </row>
    <row r="159" spans="1:4" ht="16.5" x14ac:dyDescent="0.2">
      <c r="A159" s="22"/>
      <c r="B159" s="5" t="s">
        <v>38</v>
      </c>
      <c r="C159" s="3" t="str">
        <f>IFERROR(VLOOKUP(B159,'Rekap Stock Barang'!$A$7:$G$153,2,0),"")</f>
        <v>Daging Sambal HIjau</v>
      </c>
      <c r="D159" s="5">
        <v>56</v>
      </c>
    </row>
    <row r="160" spans="1:4" ht="16.5" x14ac:dyDescent="0.2">
      <c r="A160" s="22"/>
      <c r="B160" s="5" t="s">
        <v>24</v>
      </c>
      <c r="C160" s="3" t="str">
        <f>IFERROR(VLOOKUP(B160,'Rekap Stock Barang'!$A$7:$G$153,2,0),"")</f>
        <v xml:space="preserve">Lidah </v>
      </c>
      <c r="D160" s="5">
        <v>22</v>
      </c>
    </row>
    <row r="161" spans="1:4" ht="16.5" x14ac:dyDescent="0.2">
      <c r="A161" s="22"/>
      <c r="B161" s="5" t="s">
        <v>279</v>
      </c>
      <c r="C161" s="3" t="str">
        <f>IFERROR(VLOOKUP(B161,'Rekap Stock Barang'!$A$7:$G$153,2,0),"")</f>
        <v>Lidah Goreng Segara</v>
      </c>
      <c r="D161" s="5">
        <v>23</v>
      </c>
    </row>
    <row r="162" spans="1:4" ht="16.5" x14ac:dyDescent="0.2">
      <c r="A162" s="21"/>
      <c r="B162" s="5" t="s">
        <v>31</v>
      </c>
      <c r="C162" s="3" t="str">
        <f>IFERROR(VLOOKUP(B162,'Rekap Stock Barang'!$A$7:$G$153,2,0),"")</f>
        <v>Bagor</v>
      </c>
      <c r="D162" s="5">
        <v>89</v>
      </c>
    </row>
    <row r="163" spans="1:4" ht="16.5" x14ac:dyDescent="0.2">
      <c r="A163" s="28"/>
      <c r="B163" s="5" t="s">
        <v>204</v>
      </c>
      <c r="C163" s="3" t="str">
        <f>IFERROR(VLOOKUP(B163,'Rekap Stock Barang'!$A$7:$G$153,2,0),"")</f>
        <v xml:space="preserve">Gula </v>
      </c>
      <c r="D163" s="5">
        <v>15</v>
      </c>
    </row>
    <row r="164" spans="1:4" ht="16.5" x14ac:dyDescent="0.2">
      <c r="A164" s="22"/>
      <c r="B164" s="5" t="s">
        <v>127</v>
      </c>
      <c r="C164" s="3" t="str">
        <f>IFERROR(VLOOKUP(B164,'Rekap Stock Barang'!$A$7:$G$153,2,0),"")</f>
        <v>Vanilli</v>
      </c>
      <c r="D164" s="5">
        <v>12</v>
      </c>
    </row>
    <row r="165" spans="1:4" ht="16.5" x14ac:dyDescent="0.2">
      <c r="A165" s="21"/>
      <c r="B165" s="5" t="s">
        <v>252</v>
      </c>
      <c r="C165" s="3" t="str">
        <f>IFERROR(VLOOKUP(B165,'Rekap Stock Barang'!$A$7:$G$153,2,0),"")</f>
        <v xml:space="preserve">Ayam Suwir </v>
      </c>
      <c r="D165" s="5">
        <v>26</v>
      </c>
    </row>
    <row r="166" spans="1:4" ht="16.5" x14ac:dyDescent="0.2">
      <c r="A166" s="22"/>
      <c r="B166" s="5" t="s">
        <v>279</v>
      </c>
      <c r="C166" s="3" t="str">
        <f>IFERROR(VLOOKUP(B166,'Rekap Stock Barang'!$A$7:$G$153,2,0),"")</f>
        <v>Lidah Goreng Segara</v>
      </c>
      <c r="D166" s="5">
        <v>26</v>
      </c>
    </row>
    <row r="167" spans="1:4" ht="16.5" x14ac:dyDescent="0.2">
      <c r="A167" s="22"/>
      <c r="B167" s="5" t="s">
        <v>24</v>
      </c>
      <c r="C167" s="3" t="str">
        <f>IFERROR(VLOOKUP(B167,'Rekap Stock Barang'!$A$7:$G$153,2,0),"")</f>
        <v xml:space="preserve">Lidah </v>
      </c>
      <c r="D167" s="5">
        <v>22</v>
      </c>
    </row>
    <row r="168" spans="1:4" ht="17.25" thickBot="1" x14ac:dyDescent="0.25">
      <c r="A168" s="61"/>
      <c r="B168" s="71" t="s">
        <v>10</v>
      </c>
      <c r="C168" s="72" t="str">
        <f>IFERROR(VLOOKUP(B168,'Rekap Stock Barang'!$A$7:$G$153,2,0),"")</f>
        <v>Topping Mbakmoy</v>
      </c>
      <c r="D168" s="71">
        <v>32</v>
      </c>
    </row>
    <row r="169" spans="1:4" ht="17.25" thickBot="1" x14ac:dyDescent="0.25">
      <c r="A169" s="68">
        <v>46292</v>
      </c>
      <c r="B169" s="15" t="s">
        <v>119</v>
      </c>
      <c r="C169" s="72" t="str">
        <f>IFERROR(VLOOKUP(B169,'Rekap Stock Barang'!$A$7:$G$153,2,0),"")</f>
        <v>Tepung Telur</v>
      </c>
      <c r="D169" s="15">
        <v>31</v>
      </c>
    </row>
    <row r="170" spans="1:4" ht="16.5" x14ac:dyDescent="0.2">
      <c r="A170" s="21"/>
      <c r="B170" s="5" t="s">
        <v>311</v>
      </c>
      <c r="C170" s="3" t="str">
        <f>IFERROR(VLOOKUP(B170,'Rekap Stock Barang'!$A$7:$G$153,2,0),"")</f>
        <v>Air Tahu</v>
      </c>
      <c r="D170" s="5">
        <v>20</v>
      </c>
    </row>
    <row r="171" spans="1:4" ht="17.25" thickBot="1" x14ac:dyDescent="0.25">
      <c r="A171" s="61"/>
      <c r="B171" s="71" t="s">
        <v>297</v>
      </c>
      <c r="C171" s="72" t="str">
        <f>IFERROR(VLOOKUP(B171,'Rekap Stock Barang'!$A$7:$G$153,2,0),"")</f>
        <v>Roti Bakar</v>
      </c>
      <c r="D171" s="71">
        <v>1</v>
      </c>
    </row>
    <row r="172" spans="1:4" ht="16.5" x14ac:dyDescent="0.2">
      <c r="A172" s="68">
        <v>46293</v>
      </c>
      <c r="B172" s="15" t="s">
        <v>192</v>
      </c>
      <c r="C172" s="34" t="str">
        <f>IFERROR(VLOOKUP(B172,'Rekap Stock Barang'!$A$7:$G$153,2,0),"")</f>
        <v xml:space="preserve">Max Creamer </v>
      </c>
      <c r="D172" s="15">
        <v>2</v>
      </c>
    </row>
    <row r="173" spans="1:4" ht="16.5" x14ac:dyDescent="0.2">
      <c r="A173" s="22"/>
      <c r="B173" s="5" t="s">
        <v>246</v>
      </c>
      <c r="C173" s="3" t="str">
        <f>IFERROR(VLOOKUP(B173,'Rekap Stock Barang'!$A$7:$G$153,2,0),"")</f>
        <v>Sunquick Manggo</v>
      </c>
      <c r="D173" s="5">
        <v>1</v>
      </c>
    </row>
    <row r="174" spans="1:4" ht="16.5" x14ac:dyDescent="0.2">
      <c r="A174" s="28"/>
      <c r="B174" s="22" t="s">
        <v>280</v>
      </c>
      <c r="C174" s="3" t="str">
        <f>IFERROR(VLOOKUP(B174,'Rekap Stock Barang'!$A$7:$G$153,2,0),"")</f>
        <v xml:space="preserve">Bumbu Racik </v>
      </c>
      <c r="D174" s="22">
        <v>10</v>
      </c>
    </row>
    <row r="175" spans="1:4" ht="16.5" x14ac:dyDescent="0.2">
      <c r="A175" s="28"/>
      <c r="B175" s="5" t="s">
        <v>283</v>
      </c>
      <c r="C175" s="3" t="str">
        <f>IFERROR(VLOOKUP(B175,'Rekap Stock Barang'!$A$7:$G$153,2,0),"")</f>
        <v>Sambal Petis</v>
      </c>
      <c r="D175" s="5">
        <v>12</v>
      </c>
    </row>
    <row r="176" spans="1:4" ht="16.5" x14ac:dyDescent="0.2">
      <c r="A176" s="48"/>
      <c r="B176" s="29" t="s">
        <v>20</v>
      </c>
      <c r="C176" s="3" t="str">
        <f>IFERROR(VLOOKUP(B176,'Rekap Stock Barang'!$A$7:$G$153,2,0),"")</f>
        <v>Cumi</v>
      </c>
      <c r="D176" s="29">
        <v>112</v>
      </c>
    </row>
    <row r="177" spans="1:4" ht="16.5" x14ac:dyDescent="0.2">
      <c r="A177" s="22"/>
      <c r="B177" s="5"/>
      <c r="C177" s="3" t="str">
        <f>IFERROR(VLOOKUP(B177,'Rekap Stock Barang'!$A$7:$G$153,2,0),"")</f>
        <v/>
      </c>
      <c r="D177" s="5"/>
    </row>
    <row r="178" spans="1:4" ht="16.5" x14ac:dyDescent="0.2">
      <c r="A178" s="21"/>
      <c r="B178" s="5"/>
      <c r="C178" s="3" t="str">
        <f>IFERROR(VLOOKUP(B178,'Rekap Stock Barang'!$A$7:$G$153,2,0),"")</f>
        <v/>
      </c>
      <c r="D178" s="5"/>
    </row>
    <row r="179" spans="1:4" ht="16.5" x14ac:dyDescent="0.2">
      <c r="A179" s="21"/>
      <c r="B179" s="5"/>
      <c r="C179" s="3" t="str">
        <f>IFERROR(VLOOKUP(B179,'Rekap Stock Barang'!$A$7:$G$153,2,0),"")</f>
        <v/>
      </c>
      <c r="D179" s="5"/>
    </row>
    <row r="180" spans="1:4" ht="16.5" x14ac:dyDescent="0.2">
      <c r="A180" s="22"/>
      <c r="B180" s="5"/>
      <c r="C180" s="3" t="str">
        <f>IFERROR(VLOOKUP(B180,'Rekap Stock Barang'!$A$7:$G$153,2,0),"")</f>
        <v/>
      </c>
      <c r="D180" s="5"/>
    </row>
    <row r="181" spans="1:4" ht="16.5" x14ac:dyDescent="0.2">
      <c r="A181" s="22"/>
      <c r="B181" s="5"/>
      <c r="C181" s="3" t="str">
        <f>IFERROR(VLOOKUP(B181,'Rekap Stock Barang'!$A$7:$G$153,2,0),"")</f>
        <v/>
      </c>
      <c r="D181" s="5"/>
    </row>
    <row r="182" spans="1:4" ht="16.5" x14ac:dyDescent="0.2">
      <c r="A182" s="21"/>
      <c r="B182" s="5"/>
      <c r="C182" s="3" t="str">
        <f>IFERROR(VLOOKUP(B182,'Rekap Stock Barang'!$A$7:$G$153,2,0),"")</f>
        <v/>
      </c>
      <c r="D182" s="5"/>
    </row>
    <row r="183" spans="1:4" ht="16.5" x14ac:dyDescent="0.2">
      <c r="A183" s="22"/>
      <c r="B183" s="5"/>
      <c r="C183" s="3" t="str">
        <f>IFERROR(VLOOKUP(B183,'Rekap Stock Barang'!$A$7:$G$153,2,0),"")</f>
        <v/>
      </c>
      <c r="D183" s="5"/>
    </row>
    <row r="184" spans="1:4" ht="16.5" x14ac:dyDescent="0.2">
      <c r="A184" s="28"/>
      <c r="B184" s="29"/>
      <c r="C184" s="3" t="str">
        <f>IFERROR(VLOOKUP(B184,'Rekap Stock Barang'!$A$7:$G$153,2,0),"")</f>
        <v/>
      </c>
      <c r="D184" s="29"/>
    </row>
    <row r="185" spans="1:4" ht="16.5" x14ac:dyDescent="0.2">
      <c r="A185" s="22"/>
      <c r="B185" s="5"/>
      <c r="C185" s="3" t="str">
        <f>IFERROR(VLOOKUP(B185,'Rekap Stock Barang'!$A$7:$G$153,2,0),"")</f>
        <v/>
      </c>
      <c r="D185" s="5"/>
    </row>
    <row r="186" spans="1:4" ht="16.5" x14ac:dyDescent="0.2">
      <c r="A186" s="22"/>
      <c r="B186" s="5"/>
      <c r="C186" s="3" t="str">
        <f>IFERROR(VLOOKUP(B186,'Rekap Stock Barang'!$A$7:$G$153,2,0),"")</f>
        <v/>
      </c>
      <c r="D186" s="5"/>
    </row>
    <row r="187" spans="1:4" ht="16.5" x14ac:dyDescent="0.2">
      <c r="A187" s="22"/>
      <c r="B187" s="5"/>
      <c r="C187" s="3" t="str">
        <f>IFERROR(VLOOKUP(B187,'Rekap Stock Barang'!$A$7:$G$153,2,0),"")</f>
        <v/>
      </c>
      <c r="D187" s="5"/>
    </row>
    <row r="188" spans="1:4" ht="16.5" x14ac:dyDescent="0.2">
      <c r="A188" s="22"/>
      <c r="B188" s="5"/>
      <c r="C188" s="3" t="str">
        <f>IFERROR(VLOOKUP(B188,'Rekap Stock Barang'!$A$7:$G$153,2,0),"")</f>
        <v/>
      </c>
      <c r="D188" s="5"/>
    </row>
    <row r="189" spans="1:4" ht="16.5" x14ac:dyDescent="0.2">
      <c r="A189" s="22"/>
      <c r="B189" s="5"/>
      <c r="C189" s="3" t="str">
        <f>IFERROR(VLOOKUP(B189,'Rekap Stock Barang'!$A$7:$G$153,2,0),"")</f>
        <v/>
      </c>
      <c r="D189" s="5"/>
    </row>
    <row r="190" spans="1:4" ht="16.5" x14ac:dyDescent="0.2">
      <c r="A190" s="22"/>
      <c r="B190" s="5"/>
      <c r="C190" s="3" t="str">
        <f>IFERROR(VLOOKUP(B190,'Rekap Stock Barang'!$A$7:$G$153,2,0),"")</f>
        <v/>
      </c>
      <c r="D190" s="5"/>
    </row>
    <row r="191" spans="1:4" ht="16.5" x14ac:dyDescent="0.2">
      <c r="A191" s="21"/>
      <c r="B191" s="5"/>
      <c r="C191" s="3" t="str">
        <f>IFERROR(VLOOKUP(B191,'Rekap Stock Barang'!$A$7:$G$153,2,0),"")</f>
        <v/>
      </c>
      <c r="D191" s="5"/>
    </row>
    <row r="192" spans="1:4" ht="16.5" x14ac:dyDescent="0.2">
      <c r="A192" s="22"/>
      <c r="B192" s="5"/>
      <c r="C192" s="3" t="str">
        <f>IFERROR(VLOOKUP(B192,'Rekap Stock Barang'!$A$7:$G$153,2,0),"")</f>
        <v/>
      </c>
      <c r="D192" s="5"/>
    </row>
    <row r="193" spans="1:4" ht="16.5" x14ac:dyDescent="0.2">
      <c r="A193" s="22"/>
      <c r="B193" s="5"/>
      <c r="C193" s="3" t="str">
        <f>IFERROR(VLOOKUP(B193,'Rekap Stock Barang'!$A$7:$G$153,2,0),"")</f>
        <v/>
      </c>
      <c r="D193" s="5"/>
    </row>
    <row r="194" spans="1:4" ht="16.5" x14ac:dyDescent="0.2">
      <c r="A194" s="21"/>
      <c r="B194" s="5"/>
      <c r="C194" s="3" t="str">
        <f>IFERROR(VLOOKUP(B194,'Rekap Stock Barang'!$A$7:$G$153,2,0),"")</f>
        <v/>
      </c>
      <c r="D194" s="5"/>
    </row>
    <row r="195" spans="1:4" ht="16.5" x14ac:dyDescent="0.2">
      <c r="A195" s="22"/>
      <c r="B195" s="5"/>
      <c r="C195" s="3" t="str">
        <f>IFERROR(VLOOKUP(B195,'Rekap Stock Barang'!$A$7:$G$153,2,0),"")</f>
        <v/>
      </c>
      <c r="D195" s="5"/>
    </row>
    <row r="196" spans="1:4" ht="16.5" x14ac:dyDescent="0.2">
      <c r="A196" s="22"/>
      <c r="B196" s="5"/>
      <c r="C196" s="3" t="str">
        <f>IFERROR(VLOOKUP(B196,'Rekap Stock Barang'!$A$7:$G$153,2,0),"")</f>
        <v/>
      </c>
      <c r="D196" s="5"/>
    </row>
    <row r="197" spans="1:4" ht="16.5" x14ac:dyDescent="0.2">
      <c r="A197" s="22"/>
      <c r="B197" s="5"/>
      <c r="C197" s="3" t="str">
        <f>IFERROR(VLOOKUP(B197,'Rekap Stock Barang'!$A$7:$G$153,2,0),"")</f>
        <v/>
      </c>
      <c r="D197" s="5"/>
    </row>
    <row r="198" spans="1:4" ht="16.5" x14ac:dyDescent="0.2">
      <c r="A198" s="22"/>
      <c r="B198" s="5"/>
      <c r="C198" s="3" t="str">
        <f>IFERROR(VLOOKUP(B198,'Rekap Stock Barang'!$A$7:$G$153,2,0),"")</f>
        <v/>
      </c>
      <c r="D198" s="5"/>
    </row>
    <row r="199" spans="1:4" ht="16.5" x14ac:dyDescent="0.2">
      <c r="A199" s="21"/>
      <c r="B199" s="5"/>
      <c r="C199" s="3" t="str">
        <f>IFERROR(VLOOKUP(B199,'Rekap Stock Barang'!$A$7:$G$153,2,0),"")</f>
        <v/>
      </c>
      <c r="D199" s="5"/>
    </row>
    <row r="200" spans="1:4" ht="16.5" x14ac:dyDescent="0.2">
      <c r="A200" s="5"/>
      <c r="B200" s="5"/>
      <c r="C200" s="3" t="str">
        <f>IFERROR(VLOOKUP(B200,'Rekap Stock Barang'!$A$7:$G$153,2,0),"")</f>
        <v/>
      </c>
      <c r="D200" s="5"/>
    </row>
    <row r="201" spans="1:4" ht="16.5" x14ac:dyDescent="0.2">
      <c r="A201" s="5"/>
      <c r="B201" s="5"/>
      <c r="C201" s="3" t="str">
        <f>IFERROR(VLOOKUP(B201,'Rekap Stock Barang'!$A$7:$G$153,2,0),"")</f>
        <v/>
      </c>
      <c r="D201" s="5"/>
    </row>
    <row r="202" spans="1:4" ht="16.5" x14ac:dyDescent="0.2">
      <c r="A202" s="5"/>
      <c r="B202" s="5"/>
      <c r="C202" s="3" t="str">
        <f>IFERROR(VLOOKUP(B202,'Rekap Stock Barang'!$A$7:$G$153,2,0),"")</f>
        <v/>
      </c>
      <c r="D202" s="5"/>
    </row>
    <row r="203" spans="1:4" ht="16.5" x14ac:dyDescent="0.2">
      <c r="A203" s="5"/>
      <c r="B203" s="5"/>
      <c r="C203" s="3" t="str">
        <f>IFERROR(VLOOKUP(B203,'Rekap Stock Barang'!$A$7:$G$153,2,0),"")</f>
        <v/>
      </c>
      <c r="D203" s="5"/>
    </row>
    <row r="204" spans="1:4" ht="16.5" x14ac:dyDescent="0.2">
      <c r="A204" s="5"/>
      <c r="B204" s="5"/>
      <c r="C204" s="3" t="str">
        <f>IFERROR(VLOOKUP(B204,'Rekap Stock Barang'!$A$7:$G$153,2,0),"")</f>
        <v/>
      </c>
      <c r="D204" s="5"/>
    </row>
    <row r="205" spans="1:4" ht="16.5" x14ac:dyDescent="0.2">
      <c r="A205" s="5"/>
      <c r="B205" s="5"/>
      <c r="C205" s="3" t="str">
        <f>IFERROR(VLOOKUP(B205,'Rekap Stock Barang'!$A$7:$G$153,2,0),"")</f>
        <v/>
      </c>
      <c r="D205" s="5"/>
    </row>
    <row r="206" spans="1:4" ht="16.5" x14ac:dyDescent="0.2">
      <c r="A206" s="5"/>
      <c r="B206" s="5"/>
      <c r="C206" s="3" t="str">
        <f>IFERROR(VLOOKUP(B206,'Rekap Stock Barang'!$A$7:$G$153,2,0),"")</f>
        <v/>
      </c>
      <c r="D206" s="5"/>
    </row>
    <row r="207" spans="1:4" ht="16.5" x14ac:dyDescent="0.2">
      <c r="A207" s="5"/>
      <c r="B207" s="5"/>
      <c r="C207" s="3" t="str">
        <f>IFERROR(VLOOKUP(B207,'Rekap Stock Barang'!$A$7:$G$153,2,0),"")</f>
        <v/>
      </c>
      <c r="D207" s="5"/>
    </row>
    <row r="208" spans="1:4" ht="16.5" x14ac:dyDescent="0.2">
      <c r="A208" s="5"/>
      <c r="B208" s="5"/>
      <c r="C208" s="3" t="str">
        <f>IFERROR(VLOOKUP(B208,'Rekap Stock Barang'!$A$7:$G$153,2,0),"")</f>
        <v/>
      </c>
      <c r="D208" s="5"/>
    </row>
    <row r="209" spans="1:4" ht="16.5" x14ac:dyDescent="0.2">
      <c r="A209" s="5"/>
      <c r="B209" s="5"/>
      <c r="C209" s="3" t="str">
        <f>IFERROR(VLOOKUP(B209,'Rekap Stock Barang'!$A$7:$G$153,2,0),"")</f>
        <v/>
      </c>
      <c r="D209" s="5"/>
    </row>
    <row r="210" spans="1:4" ht="16.5" x14ac:dyDescent="0.2">
      <c r="A210" s="5"/>
      <c r="B210" s="5"/>
      <c r="C210" s="3" t="str">
        <f>IFERROR(VLOOKUP(B210,'Rekap Stock Barang'!$A$7:$G$153,2,0),"")</f>
        <v/>
      </c>
      <c r="D210" s="5"/>
    </row>
    <row r="211" spans="1:4" ht="16.5" x14ac:dyDescent="0.2">
      <c r="A211" s="5"/>
      <c r="B211" s="5"/>
      <c r="C211" s="3" t="str">
        <f>IFERROR(VLOOKUP(B211,'Rekap Stock Barang'!$A$7:$G$153,2,0),"")</f>
        <v/>
      </c>
      <c r="D211" s="5"/>
    </row>
    <row r="212" spans="1:4" ht="16.5" x14ac:dyDescent="0.2">
      <c r="A212" s="5"/>
      <c r="B212" s="5"/>
      <c r="C212" s="3" t="str">
        <f>IFERROR(VLOOKUP(B212,'Rekap Stock Barang'!$A$7:$G$153,2,0),"")</f>
        <v/>
      </c>
      <c r="D212" s="5"/>
    </row>
    <row r="213" spans="1:4" ht="16.5" x14ac:dyDescent="0.2">
      <c r="A213" s="5"/>
      <c r="B213" s="5"/>
      <c r="C213" s="3" t="str">
        <f>IFERROR(VLOOKUP(B213,'Rekap Stock Barang'!$A$7:$G$153,2,0),"")</f>
        <v/>
      </c>
      <c r="D213" s="5"/>
    </row>
    <row r="214" spans="1:4" ht="16.5" x14ac:dyDescent="0.2">
      <c r="A214" s="5"/>
      <c r="B214" s="5"/>
      <c r="C214" s="3" t="str">
        <f>IFERROR(VLOOKUP(B214,'Rekap Stock Barang'!$A$7:$G$153,2,0),"")</f>
        <v/>
      </c>
      <c r="D214" s="5"/>
    </row>
    <row r="215" spans="1:4" ht="16.5" x14ac:dyDescent="0.2">
      <c r="A215" s="5"/>
      <c r="B215" s="5"/>
      <c r="C215" s="3" t="str">
        <f>IFERROR(VLOOKUP(B215,'Rekap Stock Barang'!$A$7:$G$153,2,0),"")</f>
        <v/>
      </c>
      <c r="D215" s="5"/>
    </row>
    <row r="216" spans="1:4" ht="16.5" x14ac:dyDescent="0.2">
      <c r="A216" s="5"/>
      <c r="B216" s="5"/>
      <c r="C216" s="3" t="str">
        <f>IFERROR(VLOOKUP(B216,'Rekap Stock Barang'!$A$7:$G$153,2,0),"")</f>
        <v/>
      </c>
      <c r="D216" s="5"/>
    </row>
    <row r="217" spans="1:4" ht="16.5" x14ac:dyDescent="0.2">
      <c r="A217" s="5"/>
      <c r="B217" s="5"/>
      <c r="C217" s="3" t="str">
        <f>IFERROR(VLOOKUP(B217,'Rekap Stock Barang'!$A$7:$G$153,2,0),"")</f>
        <v/>
      </c>
      <c r="D217" s="5"/>
    </row>
    <row r="218" spans="1:4" ht="16.5" x14ac:dyDescent="0.2">
      <c r="A218" s="5"/>
      <c r="B218" s="5"/>
      <c r="C218" s="3" t="str">
        <f>IFERROR(VLOOKUP(B218,'Rekap Stock Barang'!$A$7:$G$153,2,0),"")</f>
        <v/>
      </c>
      <c r="D218" s="5"/>
    </row>
    <row r="219" spans="1:4" ht="16.5" x14ac:dyDescent="0.2">
      <c r="A219" s="5"/>
      <c r="B219" s="5"/>
      <c r="C219" s="3" t="str">
        <f>IFERROR(VLOOKUP(B219,'Rekap Stock Barang'!$A$7:$G$153,2,0),"")</f>
        <v/>
      </c>
      <c r="D219" s="5"/>
    </row>
    <row r="220" spans="1:4" ht="16.5" x14ac:dyDescent="0.2">
      <c r="A220" s="5"/>
      <c r="B220" s="5"/>
      <c r="C220" s="3" t="str">
        <f>IFERROR(VLOOKUP(B220,'Rekap Stock Barang'!$A$7:$G$153,2,0),"")</f>
        <v/>
      </c>
      <c r="D220" s="5"/>
    </row>
    <row r="221" spans="1:4" ht="16.5" x14ac:dyDescent="0.2">
      <c r="A221" s="5"/>
      <c r="B221" s="5"/>
      <c r="C221" s="3" t="str">
        <f>IFERROR(VLOOKUP(B221,'Rekap Stock Barang'!$A$7:$G$153,2,0),"")</f>
        <v/>
      </c>
      <c r="D221" s="5"/>
    </row>
    <row r="222" spans="1:4" ht="16.5" x14ac:dyDescent="0.2">
      <c r="A222" s="5"/>
      <c r="B222" s="5"/>
      <c r="C222" s="3" t="str">
        <f>IFERROR(VLOOKUP(B222,'Rekap Stock Barang'!$A$7:$G$153,2,0),"")</f>
        <v/>
      </c>
      <c r="D222" s="5"/>
    </row>
    <row r="223" spans="1:4" ht="16.5" x14ac:dyDescent="0.2">
      <c r="A223" s="5"/>
      <c r="B223" s="5"/>
      <c r="C223" s="3" t="str">
        <f>IFERROR(VLOOKUP(B223,'Rekap Stock Barang'!$A$7:$G$153,2,0),"")</f>
        <v/>
      </c>
      <c r="D223" s="5"/>
    </row>
    <row r="224" spans="1:4" ht="16.5" x14ac:dyDescent="0.2">
      <c r="A224" s="5"/>
      <c r="B224" s="5"/>
      <c r="C224" s="3" t="str">
        <f>IFERROR(VLOOKUP(B224,'Rekap Stock Barang'!$A$7:$G$153,2,0),"")</f>
        <v/>
      </c>
      <c r="D224" s="5"/>
    </row>
    <row r="225" spans="1:4" ht="16.5" x14ac:dyDescent="0.2">
      <c r="A225" s="5"/>
      <c r="B225" s="5"/>
      <c r="C225" s="3" t="str">
        <f>IFERROR(VLOOKUP(B225,'Rekap Stock Barang'!$A$7:$G$153,2,0),"")</f>
        <v/>
      </c>
      <c r="D225" s="5"/>
    </row>
    <row r="226" spans="1:4" ht="16.5" x14ac:dyDescent="0.2">
      <c r="A226" s="5"/>
      <c r="B226" s="5"/>
      <c r="C226" s="3" t="str">
        <f>IFERROR(VLOOKUP(B226,'Rekap Stock Barang'!$A$7:$G$153,2,0),"")</f>
        <v/>
      </c>
      <c r="D226" s="5"/>
    </row>
    <row r="227" spans="1:4" ht="16.5" x14ac:dyDescent="0.2">
      <c r="A227" s="5"/>
      <c r="B227" s="5"/>
      <c r="C227" s="3" t="str">
        <f>IFERROR(VLOOKUP(B227,'Rekap Stock Barang'!$A$7:$G$153,2,0),"")</f>
        <v/>
      </c>
      <c r="D227" s="5"/>
    </row>
    <row r="228" spans="1:4" ht="16.5" x14ac:dyDescent="0.2">
      <c r="A228" s="5"/>
      <c r="B228" s="5"/>
      <c r="C228" s="3" t="str">
        <f>IFERROR(VLOOKUP(B228,'Rekap Stock Barang'!$A$7:$G$153,2,0),"")</f>
        <v/>
      </c>
      <c r="D228" s="5"/>
    </row>
    <row r="229" spans="1:4" ht="16.5" x14ac:dyDescent="0.2">
      <c r="A229" s="5"/>
      <c r="B229" s="5"/>
      <c r="C229" s="3" t="str">
        <f>IFERROR(VLOOKUP(B229,'Rekap Stock Barang'!$A$7:$G$153,2,0),"")</f>
        <v/>
      </c>
      <c r="D229" s="5"/>
    </row>
    <row r="230" spans="1:4" ht="16.5" x14ac:dyDescent="0.2">
      <c r="A230" s="5"/>
      <c r="B230" s="5"/>
      <c r="C230" s="3" t="str">
        <f>IFERROR(VLOOKUP(B230,'Rekap Stock Barang'!$A$7:$G$153,2,0),"")</f>
        <v/>
      </c>
      <c r="D230" s="5"/>
    </row>
    <row r="231" spans="1:4" ht="16.5" x14ac:dyDescent="0.2">
      <c r="A231" s="5"/>
      <c r="B231" s="5"/>
      <c r="C231" s="3" t="str">
        <f>IFERROR(VLOOKUP(B231,'Rekap Stock Barang'!$A$7:$G$153,2,0),"")</f>
        <v/>
      </c>
      <c r="D231" s="5"/>
    </row>
    <row r="232" spans="1:4" ht="16.5" x14ac:dyDescent="0.2">
      <c r="A232" s="5"/>
      <c r="B232" s="5"/>
      <c r="C232" s="3" t="str">
        <f>IFERROR(VLOOKUP(B232,'Rekap Stock Barang'!$A$7:$G$153,2,0),"")</f>
        <v/>
      </c>
      <c r="D232" s="5"/>
    </row>
    <row r="233" spans="1:4" ht="16.5" x14ac:dyDescent="0.2">
      <c r="A233" s="5"/>
      <c r="B233" s="5"/>
      <c r="C233" s="3" t="str">
        <f>IFERROR(VLOOKUP(B233,'Rekap Stock Barang'!$A$7:$G$153,2,0),"")</f>
        <v/>
      </c>
      <c r="D233" s="5"/>
    </row>
    <row r="234" spans="1:4" ht="16.5" x14ac:dyDescent="0.2">
      <c r="A234" s="5"/>
      <c r="B234" s="5"/>
      <c r="C234" s="3" t="str">
        <f>IFERROR(VLOOKUP(B234,'Rekap Stock Barang'!$A$7:$G$153,2,0),"")</f>
        <v/>
      </c>
      <c r="D234" s="5"/>
    </row>
    <row r="235" spans="1:4" ht="16.5" x14ac:dyDescent="0.2">
      <c r="A235" s="5"/>
      <c r="B235" s="5"/>
      <c r="C235" s="3" t="str">
        <f>IFERROR(VLOOKUP(B235,'Rekap Stock Barang'!$A$7:$G$153,2,0),"")</f>
        <v/>
      </c>
      <c r="D235" s="5"/>
    </row>
    <row r="236" spans="1:4" ht="16.5" x14ac:dyDescent="0.2">
      <c r="A236" s="5"/>
      <c r="B236" s="5"/>
      <c r="C236" s="3" t="str">
        <f>IFERROR(VLOOKUP(B236,'Rekap Stock Barang'!$A$7:$G$153,2,0),"")</f>
        <v/>
      </c>
      <c r="D236" s="5"/>
    </row>
    <row r="237" spans="1:4" ht="16.5" x14ac:dyDescent="0.2">
      <c r="A237" s="5"/>
      <c r="B237" s="5"/>
      <c r="C237" s="3" t="str">
        <f>IFERROR(VLOOKUP(B237,'Rekap Stock Barang'!$A$7:$G$153,2,0),"")</f>
        <v/>
      </c>
      <c r="D237" s="5"/>
    </row>
    <row r="238" spans="1:4" ht="16.5" x14ac:dyDescent="0.2">
      <c r="A238" s="5"/>
      <c r="B238" s="5"/>
      <c r="C238" s="3" t="str">
        <f>IFERROR(VLOOKUP(B238,'Rekap Stock Barang'!$A$7:$G$153,2,0),"")</f>
        <v/>
      </c>
      <c r="D238" s="5"/>
    </row>
    <row r="239" spans="1:4" ht="16.5" x14ac:dyDescent="0.2">
      <c r="A239" s="5"/>
      <c r="B239" s="5"/>
      <c r="C239" s="3" t="str">
        <f>IFERROR(VLOOKUP(B239,'Rekap Stock Barang'!$A$7:$G$153,2,0),"")</f>
        <v/>
      </c>
      <c r="D239" s="5"/>
    </row>
    <row r="240" spans="1:4" ht="16.5" x14ac:dyDescent="0.2">
      <c r="A240" s="5"/>
      <c r="B240" s="5"/>
      <c r="C240" s="3" t="str">
        <f>IFERROR(VLOOKUP(B240,'Rekap Stock Barang'!$A$7:$G$153,2,0),"")</f>
        <v/>
      </c>
      <c r="D240" s="5"/>
    </row>
    <row r="241" spans="1:4" ht="16.5" x14ac:dyDescent="0.2">
      <c r="A241" s="5"/>
      <c r="B241" s="5"/>
      <c r="C241" s="3" t="str">
        <f>IFERROR(VLOOKUP(B241,'Rekap Stock Barang'!$A$7:$G$153,2,0),"")</f>
        <v/>
      </c>
      <c r="D241" s="5"/>
    </row>
    <row r="242" spans="1:4" ht="16.5" x14ac:dyDescent="0.2">
      <c r="A242" s="5"/>
      <c r="B242" s="5"/>
      <c r="C242" s="3" t="str">
        <f>IFERROR(VLOOKUP(B242,'Rekap Stock Barang'!$A$7:$G$153,2,0),"")</f>
        <v/>
      </c>
      <c r="D242" s="5"/>
    </row>
    <row r="243" spans="1:4" ht="16.5" x14ac:dyDescent="0.2">
      <c r="A243" s="5"/>
      <c r="B243" s="5"/>
      <c r="C243" s="3" t="str">
        <f>IFERROR(VLOOKUP(B243,'Rekap Stock Barang'!$A$7:$G$153,2,0),"")</f>
        <v/>
      </c>
      <c r="D243" s="5"/>
    </row>
    <row r="244" spans="1:4" ht="16.5" x14ac:dyDescent="0.2">
      <c r="A244" s="5"/>
      <c r="B244" s="5"/>
      <c r="C244" s="3" t="str">
        <f>IFERROR(VLOOKUP(B244,'Rekap Stock Barang'!$A$7:$G$153,2,0),"")</f>
        <v/>
      </c>
      <c r="D244" s="5"/>
    </row>
    <row r="245" spans="1:4" ht="16.5" x14ac:dyDescent="0.2">
      <c r="A245" s="5"/>
      <c r="B245" s="5"/>
      <c r="C245" s="3" t="str">
        <f>IFERROR(VLOOKUP(B245,'Rekap Stock Barang'!$A$7:$G$153,2,0),"")</f>
        <v/>
      </c>
      <c r="D245" s="5"/>
    </row>
    <row r="246" spans="1:4" ht="16.5" x14ac:dyDescent="0.2">
      <c r="A246" s="5"/>
      <c r="B246" s="5"/>
      <c r="C246" s="3" t="str">
        <f>IFERROR(VLOOKUP(B246,'Rekap Stock Barang'!$A$7:$G$153,2,0),"")</f>
        <v/>
      </c>
      <c r="D246" s="5"/>
    </row>
    <row r="247" spans="1:4" ht="16.5" x14ac:dyDescent="0.2">
      <c r="A247" s="5"/>
      <c r="B247" s="5"/>
      <c r="C247" s="3" t="str">
        <f>IFERROR(VLOOKUP(B247,'Rekap Stock Barang'!$A$7:$G$153,2,0),"")</f>
        <v/>
      </c>
      <c r="D247" s="5"/>
    </row>
    <row r="248" spans="1:4" ht="16.5" x14ac:dyDescent="0.2">
      <c r="A248" s="5"/>
      <c r="B248" s="5"/>
      <c r="C248" s="3" t="str">
        <f>IFERROR(VLOOKUP(B248,'Rekap Stock Barang'!$A$7:$G$153,2,0),"")</f>
        <v/>
      </c>
      <c r="D248" s="5"/>
    </row>
    <row r="249" spans="1:4" ht="16.5" x14ac:dyDescent="0.2">
      <c r="A249" s="5"/>
      <c r="B249" s="5"/>
      <c r="C249" s="3" t="str">
        <f>IFERROR(VLOOKUP(B249,'Rekap Stock Barang'!$A$7:$G$153,2,0),"")</f>
        <v/>
      </c>
      <c r="D249" s="5"/>
    </row>
    <row r="250" spans="1:4" ht="16.5" x14ac:dyDescent="0.2">
      <c r="A250" s="5"/>
      <c r="B250" s="5"/>
      <c r="C250" s="3" t="str">
        <f>IFERROR(VLOOKUP(B250,'Rekap Stock Barang'!$A$7:$G$153,2,0),"")</f>
        <v/>
      </c>
      <c r="D250" s="5"/>
    </row>
    <row r="251" spans="1:4" ht="16.5" x14ac:dyDescent="0.2">
      <c r="A251" s="5"/>
      <c r="B251" s="5"/>
      <c r="C251" s="3" t="str">
        <f>IFERROR(VLOOKUP(B251,'Rekap Stock Barang'!$A$7:$G$153,2,0),"")</f>
        <v/>
      </c>
      <c r="D251" s="5"/>
    </row>
    <row r="252" spans="1:4" ht="16.5" x14ac:dyDescent="0.2">
      <c r="A252" s="5"/>
      <c r="B252" s="5"/>
      <c r="C252" s="3" t="str">
        <f>IFERROR(VLOOKUP(B252,'Rekap Stock Barang'!$A$7:$G$153,2,0),"")</f>
        <v/>
      </c>
      <c r="D252" s="5"/>
    </row>
    <row r="253" spans="1:4" ht="16.5" x14ac:dyDescent="0.2">
      <c r="A253" s="5"/>
      <c r="B253" s="5"/>
      <c r="C253" s="3" t="str">
        <f>IFERROR(VLOOKUP(B253,'Rekap Stock Barang'!$A$7:$G$153,2,0),"")</f>
        <v/>
      </c>
      <c r="D253" s="5"/>
    </row>
    <row r="254" spans="1:4" ht="16.5" x14ac:dyDescent="0.2">
      <c r="A254" s="5"/>
      <c r="B254" s="5"/>
      <c r="C254" s="3" t="str">
        <f>IFERROR(VLOOKUP(B254,'Rekap Stock Barang'!$A$7:$G$153,2,0),"")</f>
        <v/>
      </c>
      <c r="D254" s="5"/>
    </row>
    <row r="255" spans="1:4" ht="16.5" x14ac:dyDescent="0.2">
      <c r="A255" s="5"/>
      <c r="B255" s="5"/>
      <c r="C255" s="3" t="str">
        <f>IFERROR(VLOOKUP(B255,'Rekap Stock Barang'!$A$7:$G$153,2,0),"")</f>
        <v/>
      </c>
      <c r="D255" s="5"/>
    </row>
    <row r="256" spans="1:4" ht="16.5" x14ac:dyDescent="0.2">
      <c r="A256" s="5"/>
      <c r="B256" s="5"/>
      <c r="C256" s="3" t="str">
        <f>IFERROR(VLOOKUP(B256,'Rekap Stock Barang'!$A$7:$G$153,2,0),"")</f>
        <v/>
      </c>
      <c r="D256" s="5"/>
    </row>
    <row r="257" spans="1:4" ht="16.5" x14ac:dyDescent="0.2">
      <c r="A257" s="5"/>
      <c r="B257" s="5"/>
      <c r="C257" s="3" t="str">
        <f>IFERROR(VLOOKUP(B257,'Rekap Stock Barang'!$A$7:$G$153,2,0),"")</f>
        <v/>
      </c>
      <c r="D257" s="5"/>
    </row>
    <row r="258" spans="1:4" ht="16.5" x14ac:dyDescent="0.2">
      <c r="A258" s="5"/>
      <c r="B258" s="5"/>
      <c r="C258" s="3" t="str">
        <f>IFERROR(VLOOKUP(B258,'Rekap Stock Barang'!$A$7:$G$153,2,0),"")</f>
        <v/>
      </c>
      <c r="D258" s="5"/>
    </row>
    <row r="259" spans="1:4" ht="16.5" x14ac:dyDescent="0.2">
      <c r="A259" s="5"/>
      <c r="B259" s="5"/>
      <c r="C259" s="3" t="str">
        <f>IFERROR(VLOOKUP(B259,'Rekap Stock Barang'!$A$7:$G$153,2,0),"")</f>
        <v/>
      </c>
      <c r="D259" s="5"/>
    </row>
    <row r="260" spans="1:4" ht="16.5" x14ac:dyDescent="0.2">
      <c r="A260" s="5"/>
      <c r="B260" s="5"/>
      <c r="C260" s="3" t="str">
        <f>IFERROR(VLOOKUP(B260,'Rekap Stock Barang'!$A$7:$G$153,2,0),"")</f>
        <v/>
      </c>
      <c r="D260" s="5"/>
    </row>
    <row r="261" spans="1:4" ht="16.5" x14ac:dyDescent="0.2">
      <c r="A261" s="5"/>
      <c r="B261" s="5"/>
      <c r="C261" s="3" t="str">
        <f>IFERROR(VLOOKUP(B261,'Rekap Stock Barang'!$A$7:$G$153,2,0),"")</f>
        <v/>
      </c>
      <c r="D261" s="5"/>
    </row>
    <row r="262" spans="1:4" ht="16.5" x14ac:dyDescent="0.2">
      <c r="A262" s="5"/>
      <c r="B262" s="5"/>
      <c r="C262" s="3" t="str">
        <f>IFERROR(VLOOKUP(B262,'Rekap Stock Barang'!$A$7:$G$153,2,0),"")</f>
        <v/>
      </c>
      <c r="D262" s="5"/>
    </row>
    <row r="263" spans="1:4" ht="16.5" x14ac:dyDescent="0.2">
      <c r="A263" s="5"/>
      <c r="B263" s="5"/>
      <c r="C263" s="3" t="str">
        <f>IFERROR(VLOOKUP(B263,'Rekap Stock Barang'!$A$7:$G$153,2,0),"")</f>
        <v/>
      </c>
      <c r="D263" s="5"/>
    </row>
    <row r="264" spans="1:4" ht="16.5" x14ac:dyDescent="0.2">
      <c r="A264" s="5"/>
      <c r="B264" s="5"/>
      <c r="C264" s="3" t="str">
        <f>IFERROR(VLOOKUP(B264,'Rekap Stock Barang'!$A$7:$G$153,2,0),"")</f>
        <v/>
      </c>
      <c r="D264" s="5"/>
    </row>
    <row r="265" spans="1:4" ht="16.5" x14ac:dyDescent="0.2">
      <c r="A265" s="5"/>
      <c r="B265" s="5"/>
      <c r="C265" s="3" t="str">
        <f>IFERROR(VLOOKUP(B265,'Rekap Stock Barang'!$A$7:$G$153,2,0),"")</f>
        <v/>
      </c>
      <c r="D265" s="5"/>
    </row>
    <row r="266" spans="1:4" ht="16.5" x14ac:dyDescent="0.2">
      <c r="A266" s="5"/>
      <c r="B266" s="5"/>
      <c r="C266" s="3" t="str">
        <f>IFERROR(VLOOKUP(B266,'Rekap Stock Barang'!$A$7:$G$153,2,0),"")</f>
        <v/>
      </c>
      <c r="D266" s="5"/>
    </row>
    <row r="267" spans="1:4" ht="16.5" x14ac:dyDescent="0.2">
      <c r="A267" s="5"/>
      <c r="B267" s="5"/>
      <c r="C267" s="3" t="str">
        <f>IFERROR(VLOOKUP(B267,'Rekap Stock Barang'!$A$7:$G$153,2,0),"")</f>
        <v/>
      </c>
      <c r="D267" s="5"/>
    </row>
    <row r="268" spans="1:4" ht="16.5" x14ac:dyDescent="0.2">
      <c r="A268" s="5"/>
      <c r="B268" s="5"/>
      <c r="C268" s="3" t="str">
        <f>IFERROR(VLOOKUP(B268,'Rekap Stock Barang'!$A$7:$G$153,2,0),"")</f>
        <v/>
      </c>
      <c r="D268" s="5"/>
    </row>
    <row r="269" spans="1:4" ht="16.5" x14ac:dyDescent="0.2">
      <c r="A269" s="5"/>
      <c r="B269" s="5"/>
      <c r="C269" s="3" t="str">
        <f>IFERROR(VLOOKUP(B269,'Rekap Stock Barang'!$A$7:$G$153,2,0),"")</f>
        <v/>
      </c>
      <c r="D269" s="5"/>
    </row>
    <row r="270" spans="1:4" ht="16.5" x14ac:dyDescent="0.2">
      <c r="A270" s="5"/>
      <c r="B270" s="5"/>
      <c r="C270" s="3" t="str">
        <f>IFERROR(VLOOKUP(B270,'Rekap Stock Barang'!$A$7:$G$153,2,0),"")</f>
        <v/>
      </c>
      <c r="D270" s="5"/>
    </row>
    <row r="271" spans="1:4" ht="16.5" x14ac:dyDescent="0.2">
      <c r="A271" s="5"/>
      <c r="B271" s="5"/>
      <c r="C271" s="3" t="str">
        <f>IFERROR(VLOOKUP(B271,'Rekap Stock Barang'!$A$7:$G$153,2,0),"")</f>
        <v/>
      </c>
      <c r="D271" s="5"/>
    </row>
    <row r="272" spans="1:4" ht="16.5" x14ac:dyDescent="0.2">
      <c r="A272" s="5"/>
      <c r="B272" s="5"/>
      <c r="C272" s="3" t="str">
        <f>IFERROR(VLOOKUP(B272,'Rekap Stock Barang'!$A$7:$G$153,2,0),"")</f>
        <v/>
      </c>
      <c r="D272" s="5"/>
    </row>
    <row r="273" spans="1:4" ht="16.5" x14ac:dyDescent="0.2">
      <c r="A273" s="5"/>
      <c r="B273" s="5"/>
      <c r="C273" s="3" t="str">
        <f>IFERROR(VLOOKUP(B273,'Rekap Stock Barang'!$A$7:$G$153,2,0),"")</f>
        <v/>
      </c>
      <c r="D273" s="5"/>
    </row>
    <row r="274" spans="1:4" ht="16.5" x14ac:dyDescent="0.2">
      <c r="A274" s="5"/>
      <c r="B274" s="5"/>
      <c r="C274" s="3" t="str">
        <f>IFERROR(VLOOKUP(B274,'Rekap Stock Barang'!$A$7:$G$153,2,0),"")</f>
        <v/>
      </c>
      <c r="D274" s="5"/>
    </row>
    <row r="275" spans="1:4" ht="16.5" x14ac:dyDescent="0.2">
      <c r="A275" s="5"/>
      <c r="B275" s="5"/>
      <c r="C275" s="3" t="str">
        <f>IFERROR(VLOOKUP(B275,'Rekap Stock Barang'!$A$7:$G$153,2,0),"")</f>
        <v/>
      </c>
      <c r="D275" s="5"/>
    </row>
    <row r="276" spans="1:4" ht="16.5" x14ac:dyDescent="0.2">
      <c r="A276" s="5"/>
      <c r="B276" s="5"/>
      <c r="C276" s="3" t="str">
        <f>IFERROR(VLOOKUP(B276,'Rekap Stock Barang'!$A$7:$G$153,2,0),"")</f>
        <v/>
      </c>
      <c r="D276" s="5"/>
    </row>
    <row r="277" spans="1:4" ht="16.5" x14ac:dyDescent="0.2">
      <c r="A277" s="5"/>
      <c r="B277" s="5"/>
      <c r="C277" s="3" t="str">
        <f>IFERROR(VLOOKUP(B277,'Rekap Stock Barang'!$A$7:$G$153,2,0),"")</f>
        <v/>
      </c>
      <c r="D277" s="5"/>
    </row>
    <row r="278" spans="1:4" ht="16.5" x14ac:dyDescent="0.2">
      <c r="A278" s="5"/>
      <c r="B278" s="5"/>
      <c r="C278" s="3" t="str">
        <f>IFERROR(VLOOKUP(B278,'Rekap Stock Barang'!$A$7:$G$153,2,0),"")</f>
        <v/>
      </c>
      <c r="D278" s="5"/>
    </row>
    <row r="279" spans="1:4" ht="16.5" x14ac:dyDescent="0.2">
      <c r="A279" s="5"/>
      <c r="B279" s="5"/>
      <c r="C279" s="3" t="str">
        <f>IFERROR(VLOOKUP(B279,'Rekap Stock Barang'!$A$7:$G$153,2,0),"")</f>
        <v/>
      </c>
      <c r="D279" s="5"/>
    </row>
    <row r="280" spans="1:4" ht="16.5" x14ac:dyDescent="0.2">
      <c r="A280" s="5"/>
      <c r="B280" s="5"/>
      <c r="C280" s="3" t="str">
        <f>IFERROR(VLOOKUP(B280,'Rekap Stock Barang'!$A$7:$G$153,2,0),"")</f>
        <v/>
      </c>
      <c r="D280" s="5"/>
    </row>
    <row r="281" spans="1:4" ht="16.5" x14ac:dyDescent="0.2">
      <c r="A281" s="5"/>
      <c r="B281" s="5"/>
      <c r="C281" s="3" t="str">
        <f>IFERROR(VLOOKUP(B281,'Rekap Stock Barang'!$A$7:$G$153,2,0),"")</f>
        <v/>
      </c>
      <c r="D281" s="5"/>
    </row>
    <row r="282" spans="1:4" ht="16.5" x14ac:dyDescent="0.2">
      <c r="A282" s="5"/>
      <c r="B282" s="5"/>
      <c r="C282" s="3" t="str">
        <f>IFERROR(VLOOKUP(B282,'Rekap Stock Barang'!$A$7:$G$153,2,0),"")</f>
        <v/>
      </c>
      <c r="D282" s="5"/>
    </row>
    <row r="283" spans="1:4" ht="16.5" x14ac:dyDescent="0.2">
      <c r="A283" s="5"/>
      <c r="B283" s="5"/>
      <c r="C283" s="3" t="str">
        <f>IFERROR(VLOOKUP(B283,'Rekap Stock Barang'!$A$7:$G$153,2,0),"")</f>
        <v/>
      </c>
      <c r="D283" s="5"/>
    </row>
    <row r="284" spans="1:4" ht="16.5" x14ac:dyDescent="0.2">
      <c r="A284" s="5"/>
      <c r="B284" s="5"/>
      <c r="C284" s="3" t="str">
        <f>IFERROR(VLOOKUP(B284,'Rekap Stock Barang'!$A$7:$G$153,2,0),"")</f>
        <v/>
      </c>
      <c r="D284" s="5"/>
    </row>
    <row r="285" spans="1:4" ht="16.5" x14ac:dyDescent="0.2">
      <c r="A285" s="5"/>
      <c r="B285" s="5"/>
      <c r="C285" s="3" t="str">
        <f>IFERROR(VLOOKUP(B285,'Rekap Stock Barang'!$A$7:$G$153,2,0),"")</f>
        <v/>
      </c>
      <c r="D285" s="5"/>
    </row>
    <row r="286" spans="1:4" ht="16.5" x14ac:dyDescent="0.2">
      <c r="A286" s="5"/>
      <c r="B286" s="5"/>
      <c r="C286" s="3" t="str">
        <f>IFERROR(VLOOKUP(B286,'Rekap Stock Barang'!$A$7:$G$153,2,0),"")</f>
        <v/>
      </c>
      <c r="D286" s="5"/>
    </row>
    <row r="287" spans="1:4" ht="16.5" x14ac:dyDescent="0.2">
      <c r="A287" s="5"/>
      <c r="B287" s="5"/>
      <c r="C287" s="3" t="str">
        <f>IFERROR(VLOOKUP(B287,'Rekap Stock Barang'!$A$7:$G$153,2,0),"")</f>
        <v/>
      </c>
      <c r="D287" s="5"/>
    </row>
    <row r="288" spans="1:4" ht="16.5" x14ac:dyDescent="0.2">
      <c r="A288" s="5"/>
      <c r="B288" s="5"/>
      <c r="C288" s="3" t="str">
        <f>IFERROR(VLOOKUP(B288,'Rekap Stock Barang'!$A$7:$G$153,2,0),"")</f>
        <v/>
      </c>
      <c r="D288" s="5"/>
    </row>
    <row r="289" spans="1:4" ht="16.5" x14ac:dyDescent="0.2">
      <c r="A289" s="5"/>
      <c r="B289" s="5"/>
      <c r="C289" s="3" t="str">
        <f>IFERROR(VLOOKUP(B289,'Rekap Stock Barang'!$A$7:$G$153,2,0),"")</f>
        <v/>
      </c>
      <c r="D289" s="5"/>
    </row>
    <row r="290" spans="1:4" ht="16.5" x14ac:dyDescent="0.2">
      <c r="A290" s="5"/>
      <c r="B290" s="5"/>
      <c r="C290" s="3" t="str">
        <f>IFERROR(VLOOKUP(B290,'Rekap Stock Barang'!$A$7:$G$153,2,0),"")</f>
        <v/>
      </c>
      <c r="D290" s="5"/>
    </row>
    <row r="291" spans="1:4" ht="16.5" x14ac:dyDescent="0.2">
      <c r="A291" s="5"/>
      <c r="B291" s="5"/>
      <c r="C291" s="3" t="str">
        <f>IFERROR(VLOOKUP(B291,'Rekap Stock Barang'!$A$7:$G$153,2,0),"")</f>
        <v/>
      </c>
      <c r="D291" s="5"/>
    </row>
    <row r="292" spans="1:4" ht="16.5" x14ac:dyDescent="0.2">
      <c r="A292" s="5"/>
      <c r="B292" s="5"/>
      <c r="C292" s="3" t="str">
        <f>IFERROR(VLOOKUP(B292,'Rekap Stock Barang'!$A$7:$G$153,2,0),"")</f>
        <v/>
      </c>
      <c r="D292" s="5"/>
    </row>
    <row r="293" spans="1:4" ht="16.5" x14ac:dyDescent="0.2">
      <c r="A293" s="5"/>
      <c r="B293" s="5"/>
      <c r="C293" s="3" t="str">
        <f>IFERROR(VLOOKUP(B293,'Rekap Stock Barang'!$A$7:$G$153,2,0),"")</f>
        <v/>
      </c>
      <c r="D293" s="5"/>
    </row>
    <row r="294" spans="1:4" ht="16.5" x14ac:dyDescent="0.2">
      <c r="A294" s="5"/>
      <c r="B294" s="5"/>
      <c r="C294" s="3" t="str">
        <f>IFERROR(VLOOKUP(B294,'Rekap Stock Barang'!$A$7:$G$153,2,0),"")</f>
        <v/>
      </c>
      <c r="D294" s="5"/>
    </row>
    <row r="295" spans="1:4" ht="16.5" x14ac:dyDescent="0.2">
      <c r="A295" s="5"/>
      <c r="B295" s="5"/>
      <c r="C295" s="3" t="str">
        <f>IFERROR(VLOOKUP(B295,'Rekap Stock Barang'!$A$7:$G$153,2,0),"")</f>
        <v/>
      </c>
      <c r="D295" s="5"/>
    </row>
    <row r="296" spans="1:4" ht="16.5" x14ac:dyDescent="0.2">
      <c r="A296" s="5"/>
      <c r="B296" s="5"/>
      <c r="C296" s="3" t="str">
        <f>IFERROR(VLOOKUP(B296,'Rekap Stock Barang'!$A$7:$G$153,2,0),"")</f>
        <v/>
      </c>
      <c r="D296" s="5"/>
    </row>
    <row r="297" spans="1:4" ht="16.5" x14ac:dyDescent="0.2">
      <c r="A297" s="15"/>
      <c r="B297" s="15"/>
      <c r="C297" s="3" t="str">
        <f>IFERROR(VLOOKUP(B297,'Rekap Stock Barang'!$A$7:$G$153,2,0),"")</f>
        <v/>
      </c>
      <c r="D297" s="15"/>
    </row>
    <row r="298" spans="1:4" ht="16.5" x14ac:dyDescent="0.2">
      <c r="A298" s="5"/>
      <c r="B298" s="5"/>
      <c r="C298" s="3" t="str">
        <f>IFERROR(VLOOKUP(B298,'Rekap Stock Barang'!$A$7:$G$153,2,0),"")</f>
        <v/>
      </c>
      <c r="D298" s="5"/>
    </row>
    <row r="299" spans="1:4" ht="16.5" x14ac:dyDescent="0.2">
      <c r="A299" s="5"/>
      <c r="B299" s="5"/>
      <c r="C299" s="3" t="str">
        <f>IFERROR(VLOOKUP(B299,'Rekap Stock Barang'!$A$7:$G$153,2,0),"")</f>
        <v/>
      </c>
      <c r="D299" s="5"/>
    </row>
    <row r="300" spans="1:4" ht="16.5" x14ac:dyDescent="0.2">
      <c r="A300" s="5"/>
      <c r="B300" s="5"/>
      <c r="C300" s="3" t="str">
        <f>IFERROR(VLOOKUP(B300,'Rekap Stock Barang'!$A$7:$G$153,2,0),"")</f>
        <v/>
      </c>
      <c r="D300" s="5"/>
    </row>
    <row r="301" spans="1:4" ht="16.5" x14ac:dyDescent="0.2">
      <c r="A301" s="5"/>
      <c r="B301" s="5"/>
      <c r="C301" s="3" t="str">
        <f>IFERROR(VLOOKUP(B301,'Rekap Stock Barang'!$A$7:$G$153,2,0),"")</f>
        <v/>
      </c>
      <c r="D301" s="5"/>
    </row>
    <row r="302" spans="1:4" ht="16.5" x14ac:dyDescent="0.2">
      <c r="A302" s="5"/>
      <c r="B302" s="5"/>
      <c r="C302" s="3" t="str">
        <f>IFERROR(VLOOKUP(B302,'Rekap Stock Barang'!$A$7:$G$153,2,0),"")</f>
        <v/>
      </c>
      <c r="D302" s="5"/>
    </row>
    <row r="303" spans="1:4" ht="16.5" x14ac:dyDescent="0.2">
      <c r="A303" s="5"/>
      <c r="B303" s="5"/>
      <c r="C303" s="3" t="str">
        <f>IFERROR(VLOOKUP(B303,'Rekap Stock Barang'!$A$7:$G$153,2,0),"")</f>
        <v/>
      </c>
      <c r="D303" s="5"/>
    </row>
    <row r="304" spans="1:4" ht="16.5" x14ac:dyDescent="0.2">
      <c r="A304" s="5"/>
      <c r="B304" s="5"/>
      <c r="C304" s="3" t="str">
        <f>IFERROR(VLOOKUP(B304,'Rekap Stock Barang'!$A$7:$G$153,2,0),"")</f>
        <v/>
      </c>
      <c r="D304" s="5"/>
    </row>
    <row r="305" spans="1:4" ht="16.5" x14ac:dyDescent="0.2">
      <c r="A305" s="5"/>
      <c r="B305" s="5"/>
      <c r="C305" s="3" t="str">
        <f>IFERROR(VLOOKUP(B305,'Rekap Stock Barang'!$A$7:$G$153,2,0),"")</f>
        <v/>
      </c>
      <c r="D305" s="5"/>
    </row>
    <row r="306" spans="1:4" ht="16.5" x14ac:dyDescent="0.2">
      <c r="A306" s="5"/>
      <c r="B306" s="5"/>
      <c r="C306" s="3" t="str">
        <f>IFERROR(VLOOKUP(B306,'Rekap Stock Barang'!$A$7:$G$153,2,0),"")</f>
        <v/>
      </c>
      <c r="D306" s="5"/>
    </row>
    <row r="307" spans="1:4" ht="16.5" x14ac:dyDescent="0.2">
      <c r="A307" s="5"/>
      <c r="B307" s="5"/>
      <c r="C307" s="3" t="str">
        <f>IFERROR(VLOOKUP(B307,'Rekap Stock Barang'!$A$7:$G$153,2,0),"")</f>
        <v/>
      </c>
      <c r="D307" s="5"/>
    </row>
    <row r="308" spans="1:4" ht="16.5" x14ac:dyDescent="0.2">
      <c r="A308" s="5"/>
      <c r="B308" s="5"/>
      <c r="C308" s="3" t="str">
        <f>IFERROR(VLOOKUP(B308,'Rekap Stock Barang'!$A$7:$G$153,2,0),"")</f>
        <v/>
      </c>
      <c r="D308" s="5"/>
    </row>
    <row r="309" spans="1:4" ht="16.5" x14ac:dyDescent="0.2">
      <c r="A309" s="5"/>
      <c r="B309" s="5"/>
      <c r="C309" s="3" t="str">
        <f>IFERROR(VLOOKUP(B309,'Rekap Stock Barang'!$A$7:$G$153,2,0),"")</f>
        <v/>
      </c>
      <c r="D309" s="5"/>
    </row>
    <row r="310" spans="1:4" ht="16.5" x14ac:dyDescent="0.2">
      <c r="A310" s="5"/>
      <c r="B310" s="5"/>
      <c r="C310" s="3" t="str">
        <f>IFERROR(VLOOKUP(B310,'Rekap Stock Barang'!$A$7:$G$153,2,0),"")</f>
        <v/>
      </c>
      <c r="D310" s="5"/>
    </row>
    <row r="311" spans="1:4" ht="16.5" x14ac:dyDescent="0.2">
      <c r="A311" s="5"/>
      <c r="B311" s="5"/>
      <c r="C311" s="3" t="str">
        <f>IFERROR(VLOOKUP(B311,'Rekap Stock Barang'!$A$7:$G$153,2,0),"")</f>
        <v/>
      </c>
      <c r="D311" s="5"/>
    </row>
    <row r="312" spans="1:4" ht="16.5" x14ac:dyDescent="0.2">
      <c r="A312" s="5"/>
      <c r="B312" s="5"/>
      <c r="C312" s="3" t="str">
        <f>IFERROR(VLOOKUP(B312,'Rekap Stock Barang'!$A$7:$G$153,2,0),"")</f>
        <v/>
      </c>
      <c r="D312" s="5"/>
    </row>
    <row r="313" spans="1:4" ht="16.5" x14ac:dyDescent="0.2">
      <c r="A313" s="5"/>
      <c r="B313" s="5"/>
      <c r="C313" s="3" t="str">
        <f>IFERROR(VLOOKUP(B313,'Rekap Stock Barang'!$A$7:$G$153,2,0),"")</f>
        <v/>
      </c>
      <c r="D313" s="5"/>
    </row>
    <row r="314" spans="1:4" ht="16.5" x14ac:dyDescent="0.2">
      <c r="A314" s="5"/>
      <c r="B314" s="5"/>
      <c r="C314" s="3" t="str">
        <f>IFERROR(VLOOKUP(B314,'Rekap Stock Barang'!$A$7:$G$153,2,0),"")</f>
        <v/>
      </c>
      <c r="D314" s="5"/>
    </row>
    <row r="315" spans="1:4" ht="16.5" x14ac:dyDescent="0.2">
      <c r="A315" s="5"/>
      <c r="B315" s="5"/>
      <c r="C315" s="3" t="str">
        <f>IFERROR(VLOOKUP(B315,'Rekap Stock Barang'!$A$7:$G$153,2,0),"")</f>
        <v/>
      </c>
      <c r="D315" s="5"/>
    </row>
    <row r="316" spans="1:4" ht="16.5" x14ac:dyDescent="0.2">
      <c r="A316" s="5"/>
      <c r="B316" s="5"/>
      <c r="C316" s="3" t="str">
        <f>IFERROR(VLOOKUP(B316,'Rekap Stock Barang'!$A$7:$G$153,2,0),"")</f>
        <v/>
      </c>
      <c r="D316" s="5"/>
    </row>
    <row r="317" spans="1:4" ht="16.5" x14ac:dyDescent="0.2">
      <c r="A317" s="5"/>
      <c r="B317" s="5"/>
      <c r="C317" s="3" t="str">
        <f>IFERROR(VLOOKUP(B317,'Rekap Stock Barang'!$A$7:$G$153,2,0),"")</f>
        <v/>
      </c>
      <c r="D317" s="5"/>
    </row>
    <row r="318" spans="1:4" ht="16.5" x14ac:dyDescent="0.2">
      <c r="A318" s="5"/>
      <c r="B318" s="5"/>
      <c r="C318" s="3" t="str">
        <f>IFERROR(VLOOKUP(B318,'Rekap Stock Barang'!$A$7:$G$153,2,0),"")</f>
        <v/>
      </c>
      <c r="D318" s="5"/>
    </row>
    <row r="319" spans="1:4" ht="16.5" x14ac:dyDescent="0.2">
      <c r="A319" s="5"/>
      <c r="B319" s="5"/>
      <c r="C319" s="3" t="str">
        <f>IFERROR(VLOOKUP(B319,'Rekap Stock Barang'!$A$7:$G$153,2,0),"")</f>
        <v/>
      </c>
      <c r="D319" s="5"/>
    </row>
    <row r="320" spans="1:4" ht="16.5" x14ac:dyDescent="0.2">
      <c r="A320" s="5"/>
      <c r="B320" s="5"/>
      <c r="C320" s="3" t="str">
        <f>IFERROR(VLOOKUP(B320,'Rekap Stock Barang'!$A$7:$G$153,2,0),"")</f>
        <v/>
      </c>
      <c r="D320" s="5"/>
    </row>
    <row r="321" spans="1:4" ht="16.5" x14ac:dyDescent="0.2">
      <c r="A321" s="5"/>
      <c r="B321" s="5"/>
      <c r="C321" s="3" t="str">
        <f>IFERROR(VLOOKUP(B321,'Rekap Stock Barang'!$A$7:$G$153,2,0),"")</f>
        <v/>
      </c>
      <c r="D321" s="5"/>
    </row>
    <row r="322" spans="1:4" ht="16.5" x14ac:dyDescent="0.2">
      <c r="A322" s="5"/>
      <c r="B322" s="5"/>
      <c r="C322" s="3" t="str">
        <f>IFERROR(VLOOKUP(B322,'Rekap Stock Barang'!$A$7:$G$153,2,0),"")</f>
        <v/>
      </c>
      <c r="D322" s="5"/>
    </row>
    <row r="323" spans="1:4" ht="16.5" x14ac:dyDescent="0.2">
      <c r="A323" s="5"/>
      <c r="B323" s="5"/>
      <c r="C323" s="3" t="str">
        <f>IFERROR(VLOOKUP(B323,'Rekap Stock Barang'!$A$7:$G$153,2,0),"")</f>
        <v/>
      </c>
      <c r="D323" s="5"/>
    </row>
    <row r="324" spans="1:4" ht="16.5" x14ac:dyDescent="0.2">
      <c r="A324" s="5"/>
      <c r="B324" s="5"/>
      <c r="C324" s="3" t="str">
        <f>IFERROR(VLOOKUP(B324,'Rekap Stock Barang'!$A$7:$G$153,2,0),"")</f>
        <v/>
      </c>
      <c r="D324" s="5"/>
    </row>
    <row r="325" spans="1:4" ht="16.5" x14ac:dyDescent="0.2">
      <c r="A325" s="5"/>
      <c r="B325" s="5"/>
      <c r="C325" s="3" t="str">
        <f>IFERROR(VLOOKUP(B325,'Rekap Stock Barang'!$A$7:$G$153,2,0),"")</f>
        <v/>
      </c>
      <c r="D325" s="5"/>
    </row>
    <row r="326" spans="1:4" ht="16.5" x14ac:dyDescent="0.2">
      <c r="A326" s="5"/>
      <c r="B326" s="5"/>
      <c r="C326" s="3" t="str">
        <f>IFERROR(VLOOKUP(B326,'Rekap Stock Barang'!$A$7:$G$153,2,0),"")</f>
        <v/>
      </c>
      <c r="D326" s="5"/>
    </row>
    <row r="327" spans="1:4" ht="16.5" x14ac:dyDescent="0.2">
      <c r="A327" s="5"/>
      <c r="B327" s="5"/>
      <c r="C327" s="3" t="str">
        <f>IFERROR(VLOOKUP(B327,'Rekap Stock Barang'!$A$7:$G$153,2,0),"")</f>
        <v/>
      </c>
      <c r="D327" s="5"/>
    </row>
    <row r="328" spans="1:4" ht="16.5" x14ac:dyDescent="0.2">
      <c r="A328" s="5"/>
      <c r="B328" s="5"/>
      <c r="C328" s="3" t="str">
        <f>IFERROR(VLOOKUP(B328,'Rekap Stock Barang'!$A$7:$G$153,2,0),"")</f>
        <v/>
      </c>
      <c r="D328" s="5"/>
    </row>
    <row r="329" spans="1:4" ht="16.5" x14ac:dyDescent="0.2">
      <c r="A329" s="5"/>
      <c r="B329" s="5"/>
      <c r="C329" s="3" t="str">
        <f>IFERROR(VLOOKUP(B329,'Rekap Stock Barang'!$A$7:$G$153,2,0),"")</f>
        <v/>
      </c>
      <c r="D329" s="5"/>
    </row>
    <row r="330" spans="1:4" ht="16.5" x14ac:dyDescent="0.2">
      <c r="A330" s="5"/>
      <c r="B330" s="5"/>
      <c r="C330" s="3" t="str">
        <f>IFERROR(VLOOKUP(B330,'Rekap Stock Barang'!$A$7:$G$153,2,0),"")</f>
        <v/>
      </c>
      <c r="D330" s="5"/>
    </row>
    <row r="331" spans="1:4" ht="16.5" x14ac:dyDescent="0.2">
      <c r="A331" s="5"/>
      <c r="B331" s="5"/>
      <c r="C331" s="3" t="str">
        <f>IFERROR(VLOOKUP(B331,'Rekap Stock Barang'!$A$7:$G$153,2,0),"")</f>
        <v/>
      </c>
      <c r="D331" s="5"/>
    </row>
    <row r="332" spans="1:4" ht="16.5" x14ac:dyDescent="0.2">
      <c r="A332" s="5"/>
      <c r="B332" s="5"/>
      <c r="C332" s="3" t="str">
        <f>IFERROR(VLOOKUP(B332,'Rekap Stock Barang'!$A$7:$G$153,2,0),"")</f>
        <v/>
      </c>
      <c r="D332" s="5"/>
    </row>
    <row r="333" spans="1:4" ht="16.5" x14ac:dyDescent="0.2">
      <c r="A333" s="5"/>
      <c r="B333" s="5"/>
      <c r="C333" s="3" t="str">
        <f>IFERROR(VLOOKUP(B333,'Rekap Stock Barang'!$A$7:$G$153,2,0),"")</f>
        <v/>
      </c>
      <c r="D333" s="5"/>
    </row>
    <row r="334" spans="1:4" ht="16.5" x14ac:dyDescent="0.2">
      <c r="A334" s="5"/>
      <c r="B334" s="5"/>
      <c r="C334" s="3" t="str">
        <f>IFERROR(VLOOKUP(B334,'Rekap Stock Barang'!$A$7:$G$153,2,0),"")</f>
        <v/>
      </c>
      <c r="D334" s="5"/>
    </row>
    <row r="335" spans="1:4" ht="16.5" x14ac:dyDescent="0.2">
      <c r="A335" s="5"/>
      <c r="B335" s="5"/>
      <c r="C335" s="3" t="str">
        <f>IFERROR(VLOOKUP(B335,'Rekap Stock Barang'!$A$7:$G$153,2,0),"")</f>
        <v/>
      </c>
      <c r="D335" s="5"/>
    </row>
    <row r="336" spans="1:4" ht="16.5" x14ac:dyDescent="0.2">
      <c r="A336" s="5"/>
      <c r="B336" s="5"/>
      <c r="C336" s="3" t="str">
        <f>IFERROR(VLOOKUP(B336,'Rekap Stock Barang'!$A$7:$G$153,2,0),"")</f>
        <v/>
      </c>
      <c r="D336" s="5"/>
    </row>
    <row r="337" spans="1:4" ht="16.5" x14ac:dyDescent="0.2">
      <c r="A337" s="5"/>
      <c r="B337" s="5"/>
      <c r="C337" s="3" t="str">
        <f>IFERROR(VLOOKUP(B337,'Rekap Stock Barang'!$A$7:$G$153,2,0),"")</f>
        <v/>
      </c>
      <c r="D337" s="5"/>
    </row>
    <row r="338" spans="1:4" ht="16.5" x14ac:dyDescent="0.2">
      <c r="A338" s="5"/>
      <c r="B338" s="5"/>
      <c r="C338" s="3" t="str">
        <f>IFERROR(VLOOKUP(B338,'Rekap Stock Barang'!$A$7:$G$153,2,0),"")</f>
        <v/>
      </c>
      <c r="D338" s="5"/>
    </row>
    <row r="339" spans="1:4" ht="16.5" x14ac:dyDescent="0.2">
      <c r="A339" s="5"/>
      <c r="B339" s="5"/>
      <c r="C339" s="3" t="str">
        <f>IFERROR(VLOOKUP(B339,'Rekap Stock Barang'!$A$7:$G$153,2,0),"")</f>
        <v/>
      </c>
      <c r="D339" s="5"/>
    </row>
    <row r="340" spans="1:4" ht="16.5" x14ac:dyDescent="0.2">
      <c r="A340" s="5"/>
      <c r="B340" s="5"/>
      <c r="C340" s="3" t="str">
        <f>IFERROR(VLOOKUP(B340,'Rekap Stock Barang'!$A$7:$G$153,2,0),"")</f>
        <v/>
      </c>
      <c r="D340" s="5"/>
    </row>
    <row r="341" spans="1:4" ht="16.5" x14ac:dyDescent="0.2">
      <c r="A341" s="5"/>
      <c r="B341" s="5"/>
      <c r="C341" s="3" t="str">
        <f>IFERROR(VLOOKUP(B341,'Rekap Stock Barang'!$A$7:$G$153,2,0),"")</f>
        <v/>
      </c>
      <c r="D341" s="5"/>
    </row>
    <row r="342" spans="1:4" ht="16.5" x14ac:dyDescent="0.2">
      <c r="A342" s="5"/>
      <c r="B342" s="5"/>
      <c r="C342" s="3" t="str">
        <f>IFERROR(VLOOKUP(B342,'Rekap Stock Barang'!$A$7:$G$153,2,0),"")</f>
        <v/>
      </c>
      <c r="D342" s="5"/>
    </row>
    <row r="343" spans="1:4" ht="16.5" x14ac:dyDescent="0.2">
      <c r="A343" s="5"/>
      <c r="B343" s="5"/>
      <c r="C343" s="3" t="str">
        <f>IFERROR(VLOOKUP(B343,'Rekap Stock Barang'!$A$7:$G$153,2,0),"")</f>
        <v/>
      </c>
      <c r="D343" s="5"/>
    </row>
    <row r="344" spans="1:4" ht="16.5" x14ac:dyDescent="0.2">
      <c r="A344" s="5"/>
      <c r="B344" s="5"/>
      <c r="C344" s="3" t="str">
        <f>IFERROR(VLOOKUP(B344,'Rekap Stock Barang'!$A$7:$G$153,2,0),"")</f>
        <v/>
      </c>
      <c r="D344" s="5"/>
    </row>
    <row r="345" spans="1:4" ht="16.5" x14ac:dyDescent="0.2">
      <c r="A345" s="5"/>
      <c r="B345" s="5"/>
      <c r="C345" s="3" t="str">
        <f>IFERROR(VLOOKUP(B345,'Rekap Stock Barang'!$A$7:$G$153,2,0),"")</f>
        <v/>
      </c>
      <c r="D345" s="5"/>
    </row>
    <row r="346" spans="1:4" ht="16.5" x14ac:dyDescent="0.2">
      <c r="A346" s="5"/>
      <c r="B346" s="5"/>
      <c r="C346" s="3" t="str">
        <f>IFERROR(VLOOKUP(B346,'Rekap Stock Barang'!$A$7:$G$153,2,0),"")</f>
        <v/>
      </c>
      <c r="D346" s="5"/>
    </row>
    <row r="347" spans="1:4" ht="16.5" x14ac:dyDescent="0.2">
      <c r="A347" s="5"/>
      <c r="B347" s="5"/>
      <c r="C347" s="3" t="str">
        <f>IFERROR(VLOOKUP(B347,'Rekap Stock Barang'!$A$7:$G$153,2,0),"")</f>
        <v/>
      </c>
      <c r="D347" s="5"/>
    </row>
    <row r="348" spans="1:4" ht="16.5" x14ac:dyDescent="0.2">
      <c r="A348" s="5"/>
      <c r="B348" s="5"/>
      <c r="C348" s="3" t="str">
        <f>IFERROR(VLOOKUP(B348,'Rekap Stock Barang'!$A$7:$G$153,2,0),"")</f>
        <v/>
      </c>
      <c r="D348" s="5"/>
    </row>
    <row r="349" spans="1:4" ht="16.5" x14ac:dyDescent="0.2">
      <c r="A349" s="5"/>
      <c r="B349" s="5"/>
      <c r="C349" s="3" t="str">
        <f>IFERROR(VLOOKUP(B349,'Rekap Stock Barang'!$A$7:$G$153,2,0),"")</f>
        <v/>
      </c>
      <c r="D349" s="5"/>
    </row>
    <row r="350" spans="1:4" ht="16.5" x14ac:dyDescent="0.2">
      <c r="A350" s="5"/>
      <c r="B350" s="5"/>
      <c r="C350" s="3" t="str">
        <f>IFERROR(VLOOKUP(B350,'Rekap Stock Barang'!$A$7:$G$153,2,0),"")</f>
        <v/>
      </c>
      <c r="D350" s="5"/>
    </row>
    <row r="351" spans="1:4" ht="16.5" x14ac:dyDescent="0.2">
      <c r="A351" s="5"/>
      <c r="B351" s="5"/>
      <c r="C351" s="3" t="str">
        <f>IFERROR(VLOOKUP(B351,'Rekap Stock Barang'!$A$7:$G$153,2,0),"")</f>
        <v/>
      </c>
      <c r="D351" s="5"/>
    </row>
    <row r="352" spans="1:4" ht="16.5" x14ac:dyDescent="0.2">
      <c r="A352" s="5"/>
      <c r="B352" s="5"/>
      <c r="C352" s="3" t="str">
        <f>IFERROR(VLOOKUP(B352,'Rekap Stock Barang'!$A$7:$G$153,2,0),"")</f>
        <v/>
      </c>
      <c r="D352" s="5"/>
    </row>
    <row r="353" spans="1:4" ht="16.5" x14ac:dyDescent="0.2">
      <c r="A353" s="5"/>
      <c r="B353" s="5"/>
      <c r="C353" s="3" t="str">
        <f>IFERROR(VLOOKUP(B353,'Rekap Stock Barang'!$A$7:$G$153,2,0),"")</f>
        <v/>
      </c>
      <c r="D353" s="5"/>
    </row>
    <row r="354" spans="1:4" ht="16.5" x14ac:dyDescent="0.2">
      <c r="A354" s="5"/>
      <c r="B354" s="5"/>
      <c r="C354" s="3" t="str">
        <f>IFERROR(VLOOKUP(B354,'Rekap Stock Barang'!$A$7:$G$153,2,0),"")</f>
        <v/>
      </c>
      <c r="D354" s="5"/>
    </row>
    <row r="355" spans="1:4" ht="16.5" x14ac:dyDescent="0.2">
      <c r="A355" s="5"/>
      <c r="B355" s="5"/>
      <c r="C355" s="3" t="str">
        <f>IFERROR(VLOOKUP(B355,'Rekap Stock Barang'!$A$7:$G$153,2,0),"")</f>
        <v/>
      </c>
      <c r="D355" s="5"/>
    </row>
    <row r="356" spans="1:4" ht="16.5" x14ac:dyDescent="0.2">
      <c r="A356" s="5"/>
      <c r="B356" s="5"/>
      <c r="C356" s="3" t="str">
        <f>IFERROR(VLOOKUP(B356,'Rekap Stock Barang'!$A$7:$G$153,2,0),"")</f>
        <v/>
      </c>
      <c r="D356" s="5"/>
    </row>
    <row r="357" spans="1:4" ht="16.5" x14ac:dyDescent="0.2">
      <c r="A357" s="5"/>
      <c r="B357" s="5"/>
      <c r="C357" s="3" t="str">
        <f>IFERROR(VLOOKUP(B357,'Rekap Stock Barang'!$A$7:$G$153,2,0),"")</f>
        <v/>
      </c>
      <c r="D357" s="5"/>
    </row>
    <row r="358" spans="1:4" ht="16.5" x14ac:dyDescent="0.2">
      <c r="A358" s="5"/>
      <c r="B358" s="5"/>
      <c r="C358" s="3" t="str">
        <f>IFERROR(VLOOKUP(B358,'Rekap Stock Barang'!$A$7:$G$153,2,0),"")</f>
        <v/>
      </c>
      <c r="D358" s="5"/>
    </row>
    <row r="359" spans="1:4" ht="16.5" x14ac:dyDescent="0.2">
      <c r="A359" s="5"/>
      <c r="B359" s="5"/>
      <c r="C359" s="3" t="str">
        <f>IFERROR(VLOOKUP(B359,'Rekap Stock Barang'!$A$7:$G$153,2,0),"")</f>
        <v/>
      </c>
      <c r="D359" s="5"/>
    </row>
    <row r="360" spans="1:4" ht="16.5" x14ac:dyDescent="0.2">
      <c r="A360" s="5"/>
      <c r="B360" s="5"/>
      <c r="C360" s="3" t="str">
        <f>IFERROR(VLOOKUP(B360,'Rekap Stock Barang'!$A$7:$G$153,2,0),"")</f>
        <v/>
      </c>
      <c r="D360" s="5"/>
    </row>
    <row r="361" spans="1:4" ht="16.5" x14ac:dyDescent="0.2">
      <c r="A361" s="5"/>
      <c r="B361" s="5"/>
      <c r="C361" s="3" t="str">
        <f>IFERROR(VLOOKUP(B361,'Rekap Stock Barang'!$A$7:$G$153,2,0),"")</f>
        <v/>
      </c>
      <c r="D361" s="5"/>
    </row>
    <row r="362" spans="1:4" ht="16.5" x14ac:dyDescent="0.2">
      <c r="A362" s="5"/>
      <c r="B362" s="5"/>
      <c r="C362" s="3" t="str">
        <f>IFERROR(VLOOKUP(B362,'Rekap Stock Barang'!$A$7:$G$153,2,0),"")</f>
        <v/>
      </c>
      <c r="D362" s="5"/>
    </row>
    <row r="363" spans="1:4" ht="16.5" x14ac:dyDescent="0.2">
      <c r="A363" s="5"/>
      <c r="B363" s="5"/>
      <c r="C363" s="3" t="str">
        <f>IFERROR(VLOOKUP(B363,'Rekap Stock Barang'!$A$7:$G$153,2,0),"")</f>
        <v/>
      </c>
      <c r="D363" s="5"/>
    </row>
    <row r="364" spans="1:4" ht="16.5" x14ac:dyDescent="0.2">
      <c r="A364" s="5"/>
      <c r="B364" s="5"/>
      <c r="C364" s="3" t="str">
        <f>IFERROR(VLOOKUP(B364,'Rekap Stock Barang'!$A$7:$G$153,2,0),"")</f>
        <v/>
      </c>
      <c r="D364" s="5"/>
    </row>
    <row r="365" spans="1:4" ht="16.5" x14ac:dyDescent="0.2">
      <c r="A365" s="5"/>
      <c r="B365" s="5"/>
      <c r="C365" s="3" t="str">
        <f>IFERROR(VLOOKUP(B365,'Rekap Stock Barang'!$A$7:$G$153,2,0),"")</f>
        <v/>
      </c>
      <c r="D365" s="5"/>
    </row>
    <row r="366" spans="1:4" ht="16.5" x14ac:dyDescent="0.2">
      <c r="A366" s="5"/>
      <c r="B366" s="5"/>
      <c r="C366" s="3" t="str">
        <f>IFERROR(VLOOKUP(B366,'Rekap Stock Barang'!$A$7:$G$153,2,0),"")</f>
        <v/>
      </c>
      <c r="D366" s="5"/>
    </row>
    <row r="367" spans="1:4" ht="16.5" x14ac:dyDescent="0.2">
      <c r="A367" s="5"/>
      <c r="B367" s="5"/>
      <c r="C367" s="3" t="str">
        <f>IFERROR(VLOOKUP(B367,'Rekap Stock Barang'!$A$7:$G$153,2,0),"")</f>
        <v/>
      </c>
      <c r="D367" s="5"/>
    </row>
    <row r="368" spans="1:4" ht="16.5" x14ac:dyDescent="0.2">
      <c r="A368" s="5"/>
      <c r="B368" s="5"/>
      <c r="C368" s="3" t="str">
        <f>IFERROR(VLOOKUP(B368,'Rekap Stock Barang'!$A$7:$G$153,2,0),"")</f>
        <v/>
      </c>
      <c r="D368" s="5"/>
    </row>
    <row r="369" spans="1:4" ht="16.5" x14ac:dyDescent="0.2">
      <c r="A369" s="5"/>
      <c r="B369" s="5"/>
      <c r="C369" s="3" t="str">
        <f>IFERROR(VLOOKUP(B369,'Rekap Stock Barang'!$A$7:$G$153,2,0),"")</f>
        <v/>
      </c>
      <c r="D369" s="5"/>
    </row>
    <row r="370" spans="1:4" ht="16.5" x14ac:dyDescent="0.2">
      <c r="A370" s="5"/>
      <c r="B370" s="5"/>
      <c r="C370" s="3" t="str">
        <f>IFERROR(VLOOKUP(B370,'Rekap Stock Barang'!$A$7:$G$153,2,0),"")</f>
        <v/>
      </c>
      <c r="D370" s="5"/>
    </row>
    <row r="371" spans="1:4" ht="16.5" x14ac:dyDescent="0.2">
      <c r="A371" s="5"/>
      <c r="B371" s="5"/>
      <c r="C371" s="3" t="str">
        <f>IFERROR(VLOOKUP(B371,'Rekap Stock Barang'!$A$7:$G$153,2,0),"")</f>
        <v/>
      </c>
      <c r="D371" s="5"/>
    </row>
    <row r="372" spans="1:4" ht="16.5" x14ac:dyDescent="0.2">
      <c r="A372" s="5"/>
      <c r="B372" s="5"/>
      <c r="C372" s="3" t="str">
        <f>IFERROR(VLOOKUP(B372,'Rekap Stock Barang'!$A$7:$G$153,2,0),"")</f>
        <v/>
      </c>
      <c r="D372" s="5"/>
    </row>
    <row r="373" spans="1:4" ht="16.5" x14ac:dyDescent="0.2">
      <c r="A373" s="5"/>
      <c r="B373" s="5"/>
      <c r="C373" s="3" t="str">
        <f>IFERROR(VLOOKUP(B373,'Rekap Stock Barang'!$A$7:$G$153,2,0),"")</f>
        <v/>
      </c>
      <c r="D373" s="5"/>
    </row>
    <row r="374" spans="1:4" ht="16.5" x14ac:dyDescent="0.2">
      <c r="A374" s="5"/>
      <c r="B374" s="5"/>
      <c r="C374" s="3" t="str">
        <f>IFERROR(VLOOKUP(B374,'Rekap Stock Barang'!$A$7:$G$153,2,0),"")</f>
        <v/>
      </c>
      <c r="D374" s="5"/>
    </row>
    <row r="375" spans="1:4" ht="16.5" x14ac:dyDescent="0.2">
      <c r="A375" s="5"/>
      <c r="B375" s="5"/>
      <c r="C375" s="3" t="str">
        <f>IFERROR(VLOOKUP(B375,'Rekap Stock Barang'!$A$7:$G$153,2,0),"")</f>
        <v/>
      </c>
      <c r="D375" s="5"/>
    </row>
    <row r="376" spans="1:4" ht="16.5" x14ac:dyDescent="0.2">
      <c r="A376" s="5"/>
      <c r="B376" s="5"/>
      <c r="C376" s="3" t="str">
        <f>IFERROR(VLOOKUP(B376,'Rekap Stock Barang'!$A$7:$G$153,2,0),"")</f>
        <v/>
      </c>
      <c r="D376" s="5"/>
    </row>
    <row r="377" spans="1:4" ht="16.5" x14ac:dyDescent="0.2">
      <c r="A377" s="5"/>
      <c r="B377" s="5"/>
      <c r="C377" s="3" t="str">
        <f>IFERROR(VLOOKUP(B377,'Rekap Stock Barang'!$A$7:$G$153,2,0),"")</f>
        <v/>
      </c>
      <c r="D377" s="5"/>
    </row>
    <row r="378" spans="1:4" ht="16.5" x14ac:dyDescent="0.2">
      <c r="A378" s="5"/>
      <c r="B378" s="5"/>
      <c r="C378" s="3" t="str">
        <f>IFERROR(VLOOKUP(B378,'Rekap Stock Barang'!$A$7:$G$153,2,0),"")</f>
        <v/>
      </c>
      <c r="D378" s="5"/>
    </row>
    <row r="379" spans="1:4" ht="16.5" x14ac:dyDescent="0.2">
      <c r="A379" s="5"/>
      <c r="B379" s="5"/>
      <c r="C379" s="3" t="str">
        <f>IFERROR(VLOOKUP(B379,'Rekap Stock Barang'!$A$7:$G$153,2,0),"")</f>
        <v/>
      </c>
      <c r="D379" s="5"/>
    </row>
    <row r="380" spans="1:4" ht="16.5" x14ac:dyDescent="0.2">
      <c r="A380" s="5"/>
      <c r="B380" s="5"/>
      <c r="C380" s="3" t="str">
        <f>IFERROR(VLOOKUP(B380,'Rekap Stock Barang'!$A$7:$G$153,2,0),"")</f>
        <v/>
      </c>
      <c r="D380" s="5"/>
    </row>
    <row r="381" spans="1:4" ht="16.5" x14ac:dyDescent="0.2">
      <c r="A381" s="5"/>
      <c r="B381" s="5"/>
      <c r="C381" s="3" t="str">
        <f>IFERROR(VLOOKUP(B381,'Rekap Stock Barang'!$A$7:$G$153,2,0),"")</f>
        <v/>
      </c>
      <c r="D381" s="5"/>
    </row>
    <row r="382" spans="1:4" ht="16.5" x14ac:dyDescent="0.2">
      <c r="A382" s="5"/>
      <c r="B382" s="5"/>
      <c r="C382" s="3" t="str">
        <f>IFERROR(VLOOKUP(B382,'Rekap Stock Barang'!$A$7:$G$153,2,0),"")</f>
        <v/>
      </c>
      <c r="D382" s="5"/>
    </row>
    <row r="383" spans="1:4" ht="16.5" x14ac:dyDescent="0.2">
      <c r="A383" s="5"/>
      <c r="B383" s="5"/>
      <c r="C383" s="3" t="str">
        <f>IFERROR(VLOOKUP(B383,'Rekap Stock Barang'!$A$7:$G$153,2,0),"")</f>
        <v/>
      </c>
      <c r="D383" s="5"/>
    </row>
    <row r="384" spans="1:4" ht="16.5" x14ac:dyDescent="0.2">
      <c r="A384" s="5"/>
      <c r="B384" s="5"/>
      <c r="C384" s="3" t="str">
        <f>IFERROR(VLOOKUP(B384,'Rekap Stock Barang'!$A$7:$G$153,2,0),"")</f>
        <v/>
      </c>
      <c r="D384" s="5"/>
    </row>
    <row r="385" spans="1:4" ht="16.5" x14ac:dyDescent="0.2">
      <c r="A385" s="5"/>
      <c r="B385" s="5"/>
      <c r="C385" s="3" t="str">
        <f>IFERROR(VLOOKUP(B385,'Rekap Stock Barang'!$A$7:$G$153,2,0),"")</f>
        <v/>
      </c>
      <c r="D385" s="5"/>
    </row>
    <row r="386" spans="1:4" ht="16.5" x14ac:dyDescent="0.2">
      <c r="A386" s="5"/>
      <c r="B386" s="5"/>
      <c r="C386" s="3" t="str">
        <f>IFERROR(VLOOKUP(B386,'Rekap Stock Barang'!$A$7:$G$153,2,0),"")</f>
        <v/>
      </c>
      <c r="D386" s="5"/>
    </row>
    <row r="387" spans="1:4" ht="16.5" x14ac:dyDescent="0.2">
      <c r="A387" s="5"/>
      <c r="B387" s="5"/>
      <c r="C387" s="3" t="str">
        <f>IFERROR(VLOOKUP(B387,'Rekap Stock Barang'!$A$7:$G$153,2,0),"")</f>
        <v/>
      </c>
      <c r="D387" s="5"/>
    </row>
    <row r="388" spans="1:4" ht="16.5" x14ac:dyDescent="0.2">
      <c r="A388" s="5"/>
      <c r="B388" s="5"/>
      <c r="C388" s="3" t="str">
        <f>IFERROR(VLOOKUP(B388,'Rekap Stock Barang'!$A$7:$G$153,2,0),"")</f>
        <v/>
      </c>
      <c r="D388" s="5"/>
    </row>
    <row r="389" spans="1:4" ht="16.5" x14ac:dyDescent="0.2">
      <c r="A389" s="5"/>
      <c r="B389" s="5"/>
      <c r="C389" s="3" t="str">
        <f>IFERROR(VLOOKUP(B389,'Rekap Stock Barang'!$A$7:$G$153,2,0),"")</f>
        <v/>
      </c>
      <c r="D389" s="5"/>
    </row>
    <row r="390" spans="1:4" ht="16.5" x14ac:dyDescent="0.2">
      <c r="A390" s="5"/>
      <c r="B390" s="5"/>
      <c r="C390" s="3" t="str">
        <f>IFERROR(VLOOKUP(B390,'Rekap Stock Barang'!$A$7:$G$153,2,0),"")</f>
        <v/>
      </c>
      <c r="D390" s="5"/>
    </row>
    <row r="391" spans="1:4" ht="16.5" x14ac:dyDescent="0.2">
      <c r="A391" s="5"/>
      <c r="B391" s="5"/>
      <c r="C391" s="3" t="str">
        <f>IFERROR(VLOOKUP(B391,'Rekap Stock Barang'!$A$7:$G$153,2,0),"")</f>
        <v/>
      </c>
      <c r="D391" s="5"/>
    </row>
    <row r="392" spans="1:4" ht="16.5" x14ac:dyDescent="0.2">
      <c r="A392" s="5"/>
      <c r="B392" s="5"/>
      <c r="C392" s="3" t="str">
        <f>IFERROR(VLOOKUP(B392,'Rekap Stock Barang'!$A$7:$G$153,2,0),"")</f>
        <v/>
      </c>
      <c r="D392" s="5"/>
    </row>
    <row r="393" spans="1:4" ht="16.5" x14ac:dyDescent="0.2">
      <c r="A393" s="5"/>
      <c r="B393" s="5"/>
      <c r="C393" s="3" t="str">
        <f>IFERROR(VLOOKUP(B393,'Rekap Stock Barang'!$A$7:$G$153,2,0),"")</f>
        <v/>
      </c>
      <c r="D393" s="5"/>
    </row>
    <row r="394" spans="1:4" ht="16.5" x14ac:dyDescent="0.2">
      <c r="A394" s="5"/>
      <c r="B394" s="5"/>
      <c r="C394" s="3" t="str">
        <f>IFERROR(VLOOKUP(B394,'Rekap Stock Barang'!$A$7:$G$153,2,0),"")</f>
        <v/>
      </c>
      <c r="D394" s="5"/>
    </row>
    <row r="395" spans="1:4" ht="16.5" x14ac:dyDescent="0.2">
      <c r="A395" s="5"/>
      <c r="B395" s="5"/>
      <c r="C395" s="3" t="str">
        <f>IFERROR(VLOOKUP(B395,'Rekap Stock Barang'!$A$7:$G$153,2,0),"")</f>
        <v/>
      </c>
      <c r="D395" s="5"/>
    </row>
    <row r="396" spans="1:4" ht="16.5" x14ac:dyDescent="0.2">
      <c r="A396" s="5"/>
      <c r="B396" s="5"/>
      <c r="C396" s="3" t="str">
        <f>IFERROR(VLOOKUP(B396,'Rekap Stock Barang'!$A$7:$G$153,2,0),"")</f>
        <v/>
      </c>
      <c r="D396" s="5"/>
    </row>
    <row r="397" spans="1:4" ht="16.5" x14ac:dyDescent="0.2">
      <c r="A397" s="5"/>
      <c r="B397" s="5"/>
      <c r="C397" s="3" t="str">
        <f>IFERROR(VLOOKUP(B397,'Rekap Stock Barang'!$A$7:$G$153,2,0),"")</f>
        <v/>
      </c>
      <c r="D397" s="5"/>
    </row>
    <row r="398" spans="1:4" ht="16.5" x14ac:dyDescent="0.2">
      <c r="A398" s="5"/>
      <c r="B398" s="5"/>
      <c r="C398" s="3" t="str">
        <f>IFERROR(VLOOKUP(B398,'Rekap Stock Barang'!$A$7:$G$153,2,0),"")</f>
        <v/>
      </c>
      <c r="D398" s="5"/>
    </row>
    <row r="399" spans="1:4" ht="16.5" x14ac:dyDescent="0.2">
      <c r="A399" s="5"/>
      <c r="B399" s="5"/>
      <c r="C399" s="3" t="str">
        <f>IFERROR(VLOOKUP(B399,'Rekap Stock Barang'!$A$7:$G$153,2,0),"")</f>
        <v/>
      </c>
      <c r="D399" s="5"/>
    </row>
    <row r="400" spans="1:4" ht="16.5" x14ac:dyDescent="0.2">
      <c r="A400" s="5"/>
      <c r="B400" s="5"/>
      <c r="C400" s="3" t="str">
        <f>IFERROR(VLOOKUP(B400,'Rekap Stock Barang'!$A$7:$G$153,2,0),"")</f>
        <v/>
      </c>
      <c r="D400" s="5"/>
    </row>
    <row r="401" spans="1:4" ht="16.5" x14ac:dyDescent="0.2">
      <c r="A401" s="5"/>
      <c r="B401" s="5"/>
      <c r="C401" s="3" t="str">
        <f>IFERROR(VLOOKUP(B401,'Rekap Stock Barang'!$A$7:$G$153,2,0),"")</f>
        <v/>
      </c>
      <c r="D401" s="5"/>
    </row>
    <row r="402" spans="1:4" ht="16.5" x14ac:dyDescent="0.2">
      <c r="A402" s="5"/>
      <c r="B402" s="5"/>
      <c r="C402" s="3" t="str">
        <f>IFERROR(VLOOKUP(B402,'Rekap Stock Barang'!$A$7:$G$153,2,0),"")</f>
        <v/>
      </c>
      <c r="D402" s="5"/>
    </row>
    <row r="403" spans="1:4" ht="16.5" x14ac:dyDescent="0.2">
      <c r="A403" s="5"/>
      <c r="B403" s="5"/>
      <c r="C403" s="3" t="str">
        <f>IFERROR(VLOOKUP(B403,'Rekap Stock Barang'!$A$7:$G$153,2,0),"")</f>
        <v/>
      </c>
      <c r="D403" s="5"/>
    </row>
    <row r="404" spans="1:4" ht="16.5" x14ac:dyDescent="0.2">
      <c r="A404" s="5"/>
      <c r="B404" s="5"/>
      <c r="C404" s="3" t="str">
        <f>IFERROR(VLOOKUP(B404,'Rekap Stock Barang'!$A$7:$G$153,2,0),"")</f>
        <v/>
      </c>
      <c r="D404" s="5"/>
    </row>
    <row r="405" spans="1:4" ht="16.5" x14ac:dyDescent="0.2">
      <c r="A405" s="5"/>
      <c r="B405" s="5"/>
      <c r="C405" s="3" t="str">
        <f>IFERROR(VLOOKUP(B405,'Rekap Stock Barang'!$A$7:$G$153,2,0),"")</f>
        <v/>
      </c>
      <c r="D405" s="5"/>
    </row>
    <row r="406" spans="1:4" ht="16.5" x14ac:dyDescent="0.2">
      <c r="A406" s="5"/>
      <c r="B406" s="5"/>
      <c r="C406" s="3" t="str">
        <f>IFERROR(VLOOKUP(B406,'Rekap Stock Barang'!$A$7:$G$153,2,0),"")</f>
        <v/>
      </c>
      <c r="D406" s="5"/>
    </row>
    <row r="407" spans="1:4" ht="16.5" x14ac:dyDescent="0.2">
      <c r="A407" s="5"/>
      <c r="B407" s="5"/>
      <c r="C407" s="3" t="str">
        <f>IFERROR(VLOOKUP(B407,'Rekap Stock Barang'!$A$7:$G$153,2,0),"")</f>
        <v/>
      </c>
      <c r="D407" s="5"/>
    </row>
    <row r="408" spans="1:4" ht="16.5" x14ac:dyDescent="0.2">
      <c r="A408" s="5"/>
      <c r="B408" s="5"/>
      <c r="C408" s="3" t="str">
        <f>IFERROR(VLOOKUP(B408,'Rekap Stock Barang'!$A$7:$G$153,2,0),"")</f>
        <v/>
      </c>
      <c r="D408" s="5"/>
    </row>
    <row r="409" spans="1:4" ht="16.5" x14ac:dyDescent="0.2">
      <c r="A409" s="5"/>
      <c r="B409" s="5"/>
      <c r="C409" s="3" t="str">
        <f>IFERROR(VLOOKUP(B409,'Rekap Stock Barang'!$A$7:$G$153,2,0),"")</f>
        <v/>
      </c>
      <c r="D409" s="5"/>
    </row>
    <row r="410" spans="1:4" ht="16.5" x14ac:dyDescent="0.2">
      <c r="A410" s="5"/>
      <c r="B410" s="5"/>
      <c r="C410" s="3" t="str">
        <f>IFERROR(VLOOKUP(B410,'Rekap Stock Barang'!$A$7:$G$153,2,0),"")</f>
        <v/>
      </c>
      <c r="D410" s="5"/>
    </row>
    <row r="411" spans="1:4" ht="16.5" x14ac:dyDescent="0.2">
      <c r="A411" s="5"/>
      <c r="B411" s="5"/>
      <c r="C411" s="3" t="str">
        <f>IFERROR(VLOOKUP(B411,'Rekap Stock Barang'!$A$7:$G$153,2,0),"")</f>
        <v/>
      </c>
      <c r="D411" s="5"/>
    </row>
    <row r="412" spans="1:4" ht="16.5" x14ac:dyDescent="0.2">
      <c r="A412" s="5"/>
      <c r="B412" s="5"/>
      <c r="C412" s="3" t="str">
        <f>IFERROR(VLOOKUP(B412,'Rekap Stock Barang'!$A$7:$G$153,2,0),"")</f>
        <v/>
      </c>
      <c r="D412" s="5"/>
    </row>
    <row r="413" spans="1:4" ht="16.5" x14ac:dyDescent="0.2">
      <c r="A413" s="5"/>
      <c r="B413" s="5"/>
      <c r="C413" s="3" t="str">
        <f>IFERROR(VLOOKUP(B413,'Rekap Stock Barang'!$A$7:$G$153,2,0),"")</f>
        <v/>
      </c>
      <c r="D413" s="5"/>
    </row>
    <row r="414" spans="1:4" ht="16.5" x14ac:dyDescent="0.2">
      <c r="A414" s="5"/>
      <c r="B414" s="5"/>
      <c r="C414" s="3" t="str">
        <f>IFERROR(VLOOKUP(B414,'Rekap Stock Barang'!$A$7:$G$153,2,0),"")</f>
        <v/>
      </c>
      <c r="D414" s="5"/>
    </row>
    <row r="415" spans="1:4" ht="16.5" x14ac:dyDescent="0.2">
      <c r="A415" s="5"/>
      <c r="B415" s="5"/>
      <c r="C415" s="3" t="str">
        <f>IFERROR(VLOOKUP(B415,'Rekap Stock Barang'!$A$7:$G$153,2,0),"")</f>
        <v/>
      </c>
      <c r="D415" s="5"/>
    </row>
    <row r="416" spans="1:4" ht="16.5" x14ac:dyDescent="0.2">
      <c r="A416" s="5"/>
      <c r="B416" s="5"/>
      <c r="C416" s="3" t="str">
        <f>IFERROR(VLOOKUP(B416,'Rekap Stock Barang'!$A$7:$G$153,2,0),"")</f>
        <v/>
      </c>
      <c r="D416" s="5"/>
    </row>
    <row r="417" spans="1:4" ht="16.5" x14ac:dyDescent="0.2">
      <c r="A417" s="5"/>
      <c r="B417" s="5"/>
      <c r="C417" s="3" t="str">
        <f>IFERROR(VLOOKUP(B417,'Rekap Stock Barang'!$A$7:$G$153,2,0),"")</f>
        <v/>
      </c>
      <c r="D417" s="5"/>
    </row>
    <row r="418" spans="1:4" ht="16.5" x14ac:dyDescent="0.2">
      <c r="A418" s="5"/>
      <c r="B418" s="5"/>
      <c r="C418" s="3" t="str">
        <f>IFERROR(VLOOKUP(B418,'Rekap Stock Barang'!$A$7:$G$153,2,0),"")</f>
        <v/>
      </c>
      <c r="D418" s="5"/>
    </row>
    <row r="419" spans="1:4" ht="16.5" x14ac:dyDescent="0.2">
      <c r="A419" s="5"/>
      <c r="B419" s="5"/>
      <c r="C419" s="3" t="str">
        <f>IFERROR(VLOOKUP(B419,'Rekap Stock Barang'!$A$7:$G$153,2,0),"")</f>
        <v/>
      </c>
      <c r="D419" s="5"/>
    </row>
    <row r="420" spans="1:4" ht="16.5" x14ac:dyDescent="0.2">
      <c r="A420" s="5"/>
      <c r="B420" s="5"/>
      <c r="C420" s="3" t="str">
        <f>IFERROR(VLOOKUP(B420,'Rekap Stock Barang'!$A$7:$G$153,2,0),"")</f>
        <v/>
      </c>
      <c r="D420" s="5"/>
    </row>
    <row r="421" spans="1:4" ht="16.5" x14ac:dyDescent="0.2">
      <c r="A421" s="5"/>
      <c r="B421" s="5"/>
      <c r="C421" s="3" t="str">
        <f>IFERROR(VLOOKUP(B421,'Rekap Stock Barang'!$A$7:$G$153,2,0),"")</f>
        <v/>
      </c>
      <c r="D421" s="5"/>
    </row>
    <row r="422" spans="1:4" ht="16.5" x14ac:dyDescent="0.2">
      <c r="A422" s="5"/>
      <c r="B422" s="5"/>
      <c r="C422" s="3" t="str">
        <f>IFERROR(VLOOKUP(B422,'Rekap Stock Barang'!$A$7:$G$153,2,0),"")</f>
        <v/>
      </c>
      <c r="D422" s="5"/>
    </row>
    <row r="423" spans="1:4" ht="16.5" x14ac:dyDescent="0.2">
      <c r="A423" s="5"/>
      <c r="B423" s="5"/>
      <c r="C423" s="3" t="str">
        <f>IFERROR(VLOOKUP(B423,'Rekap Stock Barang'!$A$7:$G$153,2,0),"")</f>
        <v/>
      </c>
      <c r="D423" s="5"/>
    </row>
    <row r="424" spans="1:4" ht="16.5" x14ac:dyDescent="0.2">
      <c r="A424" s="5"/>
      <c r="B424" s="5"/>
      <c r="C424" s="3" t="str">
        <f>IFERROR(VLOOKUP(B424,'Rekap Stock Barang'!$A$7:$G$153,2,0),"")</f>
        <v/>
      </c>
      <c r="D424" s="5"/>
    </row>
    <row r="425" spans="1:4" ht="16.5" x14ac:dyDescent="0.2">
      <c r="A425" s="5"/>
      <c r="B425" s="5"/>
      <c r="C425" s="3" t="str">
        <f>IFERROR(VLOOKUP(B425,'Rekap Stock Barang'!$A$7:$G$153,2,0),"")</f>
        <v/>
      </c>
      <c r="D425" s="5"/>
    </row>
    <row r="426" spans="1:4" ht="16.5" x14ac:dyDescent="0.2">
      <c r="A426" s="5"/>
      <c r="B426" s="5"/>
      <c r="C426" s="3" t="str">
        <f>IFERROR(VLOOKUP(B426,'Rekap Stock Barang'!$A$7:$G$153,2,0),"")</f>
        <v/>
      </c>
      <c r="D426" s="5"/>
    </row>
    <row r="427" spans="1:4" ht="16.5" x14ac:dyDescent="0.2">
      <c r="A427" s="5"/>
      <c r="B427" s="5"/>
      <c r="C427" s="3" t="str">
        <f>IFERROR(VLOOKUP(B427,'Rekap Stock Barang'!$A$7:$G$153,2,0),"")</f>
        <v/>
      </c>
      <c r="D427" s="5"/>
    </row>
    <row r="428" spans="1:4" ht="16.5" x14ac:dyDescent="0.2">
      <c r="A428" s="5"/>
      <c r="B428" s="5"/>
      <c r="C428" s="3" t="str">
        <f>IFERROR(VLOOKUP(B428,'Rekap Stock Barang'!$A$7:$G$153,2,0),"")</f>
        <v/>
      </c>
      <c r="D428" s="5"/>
    </row>
    <row r="429" spans="1:4" ht="16.5" x14ac:dyDescent="0.2">
      <c r="A429" s="5"/>
      <c r="B429" s="5"/>
      <c r="C429" s="3" t="str">
        <f>IFERROR(VLOOKUP(B429,'Rekap Stock Barang'!$A$7:$G$153,2,0),"")</f>
        <v/>
      </c>
      <c r="D429" s="5"/>
    </row>
    <row r="430" spans="1:4" ht="16.5" x14ac:dyDescent="0.2">
      <c r="A430" s="5"/>
      <c r="B430" s="5"/>
      <c r="C430" s="3" t="str">
        <f>IFERROR(VLOOKUP(B430,'Rekap Stock Barang'!$A$7:$G$153,2,0),"")</f>
        <v/>
      </c>
      <c r="D430" s="5"/>
    </row>
    <row r="431" spans="1:4" ht="16.5" x14ac:dyDescent="0.2">
      <c r="A431" s="5"/>
      <c r="B431" s="5"/>
      <c r="C431" s="3" t="str">
        <f>IFERROR(VLOOKUP(B431,'Rekap Stock Barang'!$A$7:$G$153,2,0),"")</f>
        <v/>
      </c>
      <c r="D431" s="5"/>
    </row>
    <row r="432" spans="1:4" ht="16.5" x14ac:dyDescent="0.2">
      <c r="A432" s="5"/>
      <c r="B432" s="5"/>
      <c r="C432" s="3" t="str">
        <f>IFERROR(VLOOKUP(B432,'Rekap Stock Barang'!$A$7:$G$153,2,0),"")</f>
        <v/>
      </c>
      <c r="D432" s="5"/>
    </row>
    <row r="433" spans="1:4" ht="16.5" x14ac:dyDescent="0.2">
      <c r="A433" s="5"/>
      <c r="B433" s="5"/>
      <c r="C433" s="3" t="str">
        <f>IFERROR(VLOOKUP(B433,'Rekap Stock Barang'!$A$7:$G$153,2,0),"")</f>
        <v/>
      </c>
      <c r="D433" s="5"/>
    </row>
    <row r="434" spans="1:4" ht="16.5" x14ac:dyDescent="0.2">
      <c r="A434" s="5"/>
      <c r="B434" s="5"/>
      <c r="C434" s="3" t="str">
        <f>IFERROR(VLOOKUP(B434,'Rekap Stock Barang'!$A$7:$G$153,2,0),"")</f>
        <v/>
      </c>
      <c r="D434" s="5"/>
    </row>
    <row r="435" spans="1:4" ht="16.5" x14ac:dyDescent="0.2">
      <c r="A435" s="5"/>
      <c r="B435" s="5"/>
      <c r="C435" s="3" t="str">
        <f>IFERROR(VLOOKUP(B435,'Rekap Stock Barang'!$A$7:$G$153,2,0),"")</f>
        <v/>
      </c>
      <c r="D435" s="5"/>
    </row>
    <row r="436" spans="1:4" ht="16.5" x14ac:dyDescent="0.2">
      <c r="A436" s="5"/>
      <c r="B436" s="5"/>
      <c r="C436" s="3" t="str">
        <f>IFERROR(VLOOKUP(B436,'Rekap Stock Barang'!$A$7:$G$153,2,0),"")</f>
        <v/>
      </c>
      <c r="D436" s="5"/>
    </row>
    <row r="437" spans="1:4" ht="16.5" x14ac:dyDescent="0.2">
      <c r="A437" s="5"/>
      <c r="B437" s="5"/>
      <c r="C437" s="3" t="str">
        <f>IFERROR(VLOOKUP(B437,'Rekap Stock Barang'!$A$7:$G$153,2,0),"")</f>
        <v/>
      </c>
      <c r="D437" s="5"/>
    </row>
    <row r="438" spans="1:4" ht="16.5" x14ac:dyDescent="0.2">
      <c r="A438" s="5"/>
      <c r="B438" s="5"/>
      <c r="C438" s="3" t="str">
        <f>IFERROR(VLOOKUP(B438,'Rekap Stock Barang'!$A$7:$G$153,2,0),"")</f>
        <v/>
      </c>
      <c r="D438" s="5"/>
    </row>
    <row r="439" spans="1:4" ht="16.5" x14ac:dyDescent="0.2">
      <c r="A439" s="5"/>
      <c r="B439" s="5"/>
      <c r="C439" s="3" t="str">
        <f>IFERROR(VLOOKUP(B439,'Rekap Stock Barang'!$A$7:$G$153,2,0),"")</f>
        <v/>
      </c>
      <c r="D439" s="5"/>
    </row>
    <row r="440" spans="1:4" ht="16.5" x14ac:dyDescent="0.2">
      <c r="A440" s="5"/>
      <c r="B440" s="5"/>
      <c r="C440" s="3" t="str">
        <f>IFERROR(VLOOKUP(B440,'Rekap Stock Barang'!$A$7:$G$153,2,0),"")</f>
        <v/>
      </c>
      <c r="D440" s="5"/>
    </row>
    <row r="441" spans="1:4" ht="16.5" x14ac:dyDescent="0.2">
      <c r="A441" s="5"/>
      <c r="B441" s="5"/>
      <c r="C441" s="3" t="str">
        <f>IFERROR(VLOOKUP(B441,'Rekap Stock Barang'!$A$7:$G$153,2,0),"")</f>
        <v/>
      </c>
      <c r="D441" s="5"/>
    </row>
    <row r="442" spans="1:4" ht="16.5" x14ac:dyDescent="0.2">
      <c r="A442" s="5"/>
      <c r="B442" s="5"/>
      <c r="C442" s="3" t="str">
        <f>IFERROR(VLOOKUP(B442,'Rekap Stock Barang'!$A$7:$G$153,2,0),"")</f>
        <v/>
      </c>
      <c r="D442" s="5"/>
    </row>
    <row r="443" spans="1:4" ht="16.5" x14ac:dyDescent="0.2">
      <c r="A443" s="5"/>
      <c r="B443" s="5"/>
      <c r="C443" s="3" t="str">
        <f>IFERROR(VLOOKUP(B443,'Rekap Stock Barang'!$A$7:$G$153,2,0),"")</f>
        <v/>
      </c>
      <c r="D443" s="5"/>
    </row>
    <row r="444" spans="1:4" ht="16.5" x14ac:dyDescent="0.2">
      <c r="A444" s="5"/>
      <c r="B444" s="5"/>
      <c r="C444" s="3" t="str">
        <f>IFERROR(VLOOKUP(B444,'Rekap Stock Barang'!$A$7:$G$153,2,0),"")</f>
        <v/>
      </c>
      <c r="D444" s="5"/>
    </row>
    <row r="445" spans="1:4" ht="16.5" x14ac:dyDescent="0.2">
      <c r="A445" s="5"/>
      <c r="B445" s="5"/>
      <c r="C445" s="3" t="str">
        <f>IFERROR(VLOOKUP(B445,'Rekap Stock Barang'!$A$7:$G$153,2,0),"")</f>
        <v/>
      </c>
      <c r="D445" s="5"/>
    </row>
    <row r="446" spans="1:4" ht="16.5" x14ac:dyDescent="0.2">
      <c r="A446" s="5"/>
      <c r="B446" s="5"/>
      <c r="C446" s="3" t="str">
        <f>IFERROR(VLOOKUP(B446,'Rekap Stock Barang'!$A$7:$G$153,2,0),"")</f>
        <v/>
      </c>
      <c r="D446" s="5"/>
    </row>
    <row r="447" spans="1:4" ht="16.5" x14ac:dyDescent="0.2">
      <c r="A447" s="5"/>
      <c r="B447" s="5"/>
      <c r="C447" s="3" t="str">
        <f>IFERROR(VLOOKUP(B447,'Rekap Stock Barang'!$A$7:$G$153,2,0),"")</f>
        <v/>
      </c>
      <c r="D447" s="5"/>
    </row>
    <row r="448" spans="1:4" ht="16.5" x14ac:dyDescent="0.2">
      <c r="A448" s="5"/>
      <c r="B448" s="5"/>
      <c r="C448" s="3" t="str">
        <f>IFERROR(VLOOKUP(B448,'Rekap Stock Barang'!$A$7:$G$153,2,0),"")</f>
        <v/>
      </c>
      <c r="D448" s="5"/>
    </row>
    <row r="449" spans="1:4" ht="16.5" x14ac:dyDescent="0.2">
      <c r="A449" s="5"/>
      <c r="B449" s="5"/>
      <c r="C449" s="3" t="str">
        <f>IFERROR(VLOOKUP(B449,'Rekap Stock Barang'!$A$7:$G$153,2,0),"")</f>
        <v/>
      </c>
      <c r="D449" s="5"/>
    </row>
    <row r="450" spans="1:4" ht="16.5" x14ac:dyDescent="0.2">
      <c r="A450" s="5"/>
      <c r="B450" s="5"/>
      <c r="C450" s="3" t="str">
        <f>IFERROR(VLOOKUP(B450,'Rekap Stock Barang'!$A$7:$G$153,2,0),"")</f>
        <v/>
      </c>
      <c r="D450" s="5"/>
    </row>
    <row r="451" spans="1:4" ht="16.5" x14ac:dyDescent="0.2">
      <c r="A451" s="5"/>
      <c r="B451" s="5"/>
      <c r="C451" s="3" t="str">
        <f>IFERROR(VLOOKUP(B451,'Rekap Stock Barang'!$A$7:$G$153,2,0),"")</f>
        <v/>
      </c>
      <c r="D451" s="5"/>
    </row>
    <row r="452" spans="1:4" ht="16.5" x14ac:dyDescent="0.2">
      <c r="A452" s="5"/>
      <c r="B452" s="5"/>
      <c r="C452" s="3" t="str">
        <f>IFERROR(VLOOKUP(B452,'Rekap Stock Barang'!$A$7:$G$153,2,0),"")</f>
        <v/>
      </c>
      <c r="D452" s="5"/>
    </row>
    <row r="453" spans="1:4" ht="16.5" x14ac:dyDescent="0.2">
      <c r="A453" s="5"/>
      <c r="B453" s="5"/>
      <c r="C453" s="3" t="str">
        <f>IFERROR(VLOOKUP(B453,'Rekap Stock Barang'!$A$7:$G$153,2,0),"")</f>
        <v/>
      </c>
      <c r="D453" s="5"/>
    </row>
    <row r="454" spans="1:4" ht="16.5" x14ac:dyDescent="0.2">
      <c r="A454" s="5"/>
      <c r="B454" s="5"/>
      <c r="C454" s="3" t="str">
        <f>IFERROR(VLOOKUP(B454,'Rekap Stock Barang'!$A$7:$G$153,2,0),"")</f>
        <v/>
      </c>
      <c r="D454" s="5"/>
    </row>
    <row r="455" spans="1:4" ht="16.5" x14ac:dyDescent="0.2">
      <c r="A455" s="5"/>
      <c r="B455" s="5"/>
      <c r="C455" s="3" t="str">
        <f>IFERROR(VLOOKUP(B455,'Rekap Stock Barang'!$A$7:$G$153,2,0),"")</f>
        <v/>
      </c>
      <c r="D455" s="5"/>
    </row>
    <row r="456" spans="1:4" ht="16.5" x14ac:dyDescent="0.2">
      <c r="A456" s="5"/>
      <c r="B456" s="5"/>
      <c r="C456" s="3" t="str">
        <f>IFERROR(VLOOKUP(B456,'Rekap Stock Barang'!$A$7:$G$153,2,0),"")</f>
        <v/>
      </c>
      <c r="D456" s="5"/>
    </row>
    <row r="457" spans="1:4" ht="16.5" x14ac:dyDescent="0.2">
      <c r="A457" s="5"/>
      <c r="B457" s="5"/>
      <c r="C457" s="3" t="str">
        <f>IFERROR(VLOOKUP(B457,'Rekap Stock Barang'!$A$7:$G$153,2,0),"")</f>
        <v/>
      </c>
      <c r="D457" s="5"/>
    </row>
    <row r="458" spans="1:4" ht="16.5" x14ac:dyDescent="0.2">
      <c r="A458" s="5"/>
      <c r="B458" s="5"/>
      <c r="C458" s="3" t="str">
        <f>IFERROR(VLOOKUP(B458,'Rekap Stock Barang'!$A$7:$G$153,2,0),"")</f>
        <v/>
      </c>
      <c r="D458" s="5"/>
    </row>
    <row r="459" spans="1:4" ht="16.5" x14ac:dyDescent="0.2">
      <c r="A459" s="5"/>
      <c r="B459" s="5"/>
      <c r="C459" s="3" t="str">
        <f>IFERROR(VLOOKUP(B459,'Rekap Stock Barang'!$A$7:$G$153,2,0),"")</f>
        <v/>
      </c>
      <c r="D459" s="5"/>
    </row>
    <row r="460" spans="1:4" ht="16.5" x14ac:dyDescent="0.2">
      <c r="A460" s="5"/>
      <c r="B460" s="5"/>
      <c r="C460" s="3" t="str">
        <f>IFERROR(VLOOKUP(B460,'Rekap Stock Barang'!$A$7:$G$153,2,0),"")</f>
        <v/>
      </c>
      <c r="D460" s="5"/>
    </row>
    <row r="461" spans="1:4" ht="16.5" x14ac:dyDescent="0.2">
      <c r="A461" s="5"/>
      <c r="B461" s="5"/>
      <c r="C461" s="3" t="str">
        <f>IFERROR(VLOOKUP(B461,'Rekap Stock Barang'!$A$7:$G$153,2,0),"")</f>
        <v/>
      </c>
      <c r="D461" s="5"/>
    </row>
    <row r="462" spans="1:4" ht="16.5" x14ac:dyDescent="0.2">
      <c r="A462" s="5"/>
      <c r="B462" s="5"/>
      <c r="C462" s="3" t="str">
        <f>IFERROR(VLOOKUP(B462,'Rekap Stock Barang'!$A$7:$G$153,2,0),"")</f>
        <v/>
      </c>
      <c r="D462" s="5"/>
    </row>
    <row r="463" spans="1:4" ht="16.5" x14ac:dyDescent="0.2">
      <c r="A463" s="5"/>
      <c r="B463" s="5"/>
      <c r="C463" s="3" t="str">
        <f>IFERROR(VLOOKUP(B463,'Rekap Stock Barang'!$A$7:$G$153,2,0),"")</f>
        <v/>
      </c>
      <c r="D463" s="5"/>
    </row>
    <row r="464" spans="1:4" ht="16.5" x14ac:dyDescent="0.2">
      <c r="A464" s="5"/>
      <c r="B464" s="5"/>
      <c r="C464" s="3" t="str">
        <f>IFERROR(VLOOKUP(B464,'Rekap Stock Barang'!$A$7:$G$153,2,0),"")</f>
        <v/>
      </c>
      <c r="D464" s="5"/>
    </row>
    <row r="465" spans="1:4" ht="16.5" x14ac:dyDescent="0.2">
      <c r="A465" s="5"/>
      <c r="B465" s="5"/>
      <c r="C465" s="3" t="str">
        <f>IFERROR(VLOOKUP(B465,'Rekap Stock Barang'!$A$7:$G$153,2,0),"")</f>
        <v/>
      </c>
      <c r="D465" s="5"/>
    </row>
    <row r="466" spans="1:4" ht="16.5" x14ac:dyDescent="0.2">
      <c r="A466" s="5"/>
      <c r="B466" s="5"/>
      <c r="C466" s="3" t="str">
        <f>IFERROR(VLOOKUP(B466,'Rekap Stock Barang'!$A$7:$G$153,2,0),"")</f>
        <v/>
      </c>
      <c r="D466" s="5"/>
    </row>
    <row r="467" spans="1:4" ht="16.5" x14ac:dyDescent="0.2">
      <c r="A467" s="5"/>
      <c r="B467" s="5"/>
      <c r="C467" s="3" t="str">
        <f>IFERROR(VLOOKUP(B467,'Rekap Stock Barang'!$A$7:$G$153,2,0),"")</f>
        <v/>
      </c>
      <c r="D467" s="5"/>
    </row>
    <row r="468" spans="1:4" ht="16.5" x14ac:dyDescent="0.2">
      <c r="A468" s="5"/>
      <c r="B468" s="5"/>
      <c r="C468" s="3" t="str">
        <f>IFERROR(VLOOKUP(B468,'Rekap Stock Barang'!$A$7:$G$153,2,0),"")</f>
        <v/>
      </c>
      <c r="D468" s="5"/>
    </row>
    <row r="469" spans="1:4" ht="16.5" x14ac:dyDescent="0.2">
      <c r="A469" s="5"/>
      <c r="B469" s="5"/>
      <c r="C469" s="3" t="str">
        <f>IFERROR(VLOOKUP(B469,'Rekap Stock Barang'!$A$7:$G$153,2,0),"")</f>
        <v/>
      </c>
      <c r="D469" s="5"/>
    </row>
    <row r="470" spans="1:4" ht="16.5" x14ac:dyDescent="0.2">
      <c r="A470" s="5"/>
      <c r="B470" s="5"/>
      <c r="C470" s="3" t="str">
        <f>IFERROR(VLOOKUP(B470,'Rekap Stock Barang'!$A$7:$G$153,2,0),"")</f>
        <v/>
      </c>
      <c r="D470" s="5"/>
    </row>
    <row r="471" spans="1:4" ht="16.5" x14ac:dyDescent="0.2">
      <c r="A471" s="5"/>
      <c r="B471" s="5"/>
      <c r="C471" s="3" t="str">
        <f>IFERROR(VLOOKUP(B471,'Rekap Stock Barang'!$A$7:$G$153,2,0),"")</f>
        <v/>
      </c>
      <c r="D471" s="5"/>
    </row>
    <row r="472" spans="1:4" ht="16.5" x14ac:dyDescent="0.2">
      <c r="A472" s="5"/>
      <c r="B472" s="5"/>
      <c r="C472" s="3" t="str">
        <f>IFERROR(VLOOKUP(B472,'Rekap Stock Barang'!$A$7:$G$153,2,0),"")</f>
        <v/>
      </c>
      <c r="D472" s="5"/>
    </row>
    <row r="473" spans="1:4" ht="16.5" x14ac:dyDescent="0.2">
      <c r="A473" s="5"/>
      <c r="B473" s="5"/>
      <c r="C473" s="3" t="str">
        <f>IFERROR(VLOOKUP(B473,'Rekap Stock Barang'!$A$7:$G$153,2,0),"")</f>
        <v/>
      </c>
      <c r="D473" s="5"/>
    </row>
    <row r="474" spans="1:4" ht="16.5" x14ac:dyDescent="0.2">
      <c r="A474" s="5"/>
      <c r="B474" s="5"/>
      <c r="C474" s="3" t="str">
        <f>IFERROR(VLOOKUP(B474,'Rekap Stock Barang'!$A$7:$G$153,2,0),"")</f>
        <v/>
      </c>
      <c r="D474" s="5"/>
    </row>
    <row r="475" spans="1:4" ht="16.5" x14ac:dyDescent="0.2">
      <c r="A475" s="5"/>
      <c r="B475" s="5"/>
      <c r="C475" s="3" t="str">
        <f>IFERROR(VLOOKUP(B475,'Rekap Stock Barang'!$A$7:$G$153,2,0),"")</f>
        <v/>
      </c>
      <c r="D475" s="5"/>
    </row>
    <row r="476" spans="1:4" ht="16.5" x14ac:dyDescent="0.2">
      <c r="A476" s="5"/>
      <c r="B476" s="5"/>
      <c r="C476" s="3" t="str">
        <f>IFERROR(VLOOKUP(B476,'Rekap Stock Barang'!$A$7:$G$153,2,0),"")</f>
        <v/>
      </c>
      <c r="D476" s="5"/>
    </row>
    <row r="477" spans="1:4" ht="16.5" x14ac:dyDescent="0.2">
      <c r="A477" s="5"/>
      <c r="B477" s="5"/>
      <c r="C477" s="3" t="str">
        <f>IFERROR(VLOOKUP(B477,'Rekap Stock Barang'!$A$7:$G$153,2,0),"")</f>
        <v/>
      </c>
      <c r="D477" s="5"/>
    </row>
    <row r="478" spans="1:4" ht="16.5" x14ac:dyDescent="0.2">
      <c r="A478" s="5"/>
      <c r="B478" s="5"/>
      <c r="C478" s="3" t="str">
        <f>IFERROR(VLOOKUP(B478,'Rekap Stock Barang'!$A$7:$G$153,2,0),"")</f>
        <v/>
      </c>
      <c r="D478" s="5"/>
    </row>
    <row r="479" spans="1:4" ht="16.5" x14ac:dyDescent="0.2">
      <c r="A479" s="5"/>
      <c r="B479" s="5"/>
      <c r="C479" s="3" t="str">
        <f>IFERROR(VLOOKUP(B479,'Rekap Stock Barang'!$A$7:$G$153,2,0),"")</f>
        <v/>
      </c>
      <c r="D479" s="5"/>
    </row>
    <row r="480" spans="1:4" ht="16.5" x14ac:dyDescent="0.2">
      <c r="A480" s="5"/>
      <c r="B480" s="5"/>
      <c r="C480" s="3" t="str">
        <f>IFERROR(VLOOKUP(B480,'Rekap Stock Barang'!$A$7:$G$153,2,0),"")</f>
        <v/>
      </c>
      <c r="D480" s="5"/>
    </row>
    <row r="481" spans="1:4" ht="16.5" x14ac:dyDescent="0.2">
      <c r="A481" s="5"/>
      <c r="B481" s="5"/>
      <c r="C481" s="3" t="str">
        <f>IFERROR(VLOOKUP(B481,'Rekap Stock Barang'!$A$7:$G$153,2,0),"")</f>
        <v/>
      </c>
      <c r="D481" s="5"/>
    </row>
    <row r="482" spans="1:4" ht="16.5" x14ac:dyDescent="0.2">
      <c r="A482" s="5"/>
      <c r="B482" s="5"/>
      <c r="C482" s="3" t="str">
        <f>IFERROR(VLOOKUP(B482,'Rekap Stock Barang'!$A$7:$G$153,2,0),"")</f>
        <v/>
      </c>
      <c r="D482" s="5"/>
    </row>
    <row r="483" spans="1:4" ht="16.5" x14ac:dyDescent="0.2">
      <c r="A483" s="5"/>
      <c r="B483" s="5"/>
      <c r="C483" s="3" t="str">
        <f>IFERROR(VLOOKUP(B483,'Rekap Stock Barang'!$A$7:$G$153,2,0),"")</f>
        <v/>
      </c>
      <c r="D483" s="5"/>
    </row>
    <row r="484" spans="1:4" ht="16.5" x14ac:dyDescent="0.2">
      <c r="A484" s="5"/>
      <c r="B484" s="5"/>
      <c r="C484" s="3" t="str">
        <f>IFERROR(VLOOKUP(B484,'Rekap Stock Barang'!$A$7:$G$153,2,0),"")</f>
        <v/>
      </c>
      <c r="D484" s="5"/>
    </row>
    <row r="485" spans="1:4" ht="16.5" x14ac:dyDescent="0.2">
      <c r="A485" s="5"/>
      <c r="B485" s="5"/>
      <c r="C485" s="3" t="str">
        <f>IFERROR(VLOOKUP(B485,'Rekap Stock Barang'!$A$7:$G$153,2,0),"")</f>
        <v/>
      </c>
      <c r="D485" s="5"/>
    </row>
    <row r="486" spans="1:4" ht="16.5" x14ac:dyDescent="0.2">
      <c r="A486" s="5"/>
      <c r="B486" s="5"/>
      <c r="C486" s="3" t="str">
        <f>IFERROR(VLOOKUP(B486,'Rekap Stock Barang'!$A$7:$G$153,2,0),"")</f>
        <v/>
      </c>
      <c r="D486" s="5"/>
    </row>
    <row r="487" spans="1:4" ht="16.5" x14ac:dyDescent="0.2">
      <c r="A487" s="5"/>
      <c r="B487" s="5"/>
      <c r="C487" s="3" t="str">
        <f>IFERROR(VLOOKUP(B487,'Rekap Stock Barang'!$A$7:$G$153,2,0),"")</f>
        <v/>
      </c>
      <c r="D487" s="5"/>
    </row>
    <row r="488" spans="1:4" ht="16.5" x14ac:dyDescent="0.2">
      <c r="A488" s="5"/>
      <c r="B488" s="5"/>
      <c r="C488" s="3" t="str">
        <f>IFERROR(VLOOKUP(B488,'Rekap Stock Barang'!$A$7:$G$153,2,0),"")</f>
        <v/>
      </c>
      <c r="D488" s="5"/>
    </row>
    <row r="489" spans="1:4" ht="16.5" x14ac:dyDescent="0.2">
      <c r="A489" s="5"/>
      <c r="B489" s="5"/>
      <c r="C489" s="3" t="str">
        <f>IFERROR(VLOOKUP(B489,'Rekap Stock Barang'!$A$7:$G$153,2,0),"")</f>
        <v/>
      </c>
      <c r="D489" s="5"/>
    </row>
    <row r="490" spans="1:4" ht="16.5" x14ac:dyDescent="0.2">
      <c r="A490" s="5"/>
      <c r="B490" s="5"/>
      <c r="C490" s="3" t="str">
        <f>IFERROR(VLOOKUP(B490,'Rekap Stock Barang'!$A$7:$G$153,2,0),"")</f>
        <v/>
      </c>
      <c r="D490" s="5"/>
    </row>
    <row r="491" spans="1:4" ht="16.5" x14ac:dyDescent="0.2">
      <c r="A491" s="5"/>
      <c r="B491" s="5"/>
      <c r="C491" s="3" t="str">
        <f>IFERROR(VLOOKUP(B491,'Rekap Stock Barang'!$A$7:$G$153,2,0),"")</f>
        <v/>
      </c>
      <c r="D491" s="5"/>
    </row>
    <row r="492" spans="1:4" ht="16.5" x14ac:dyDescent="0.2">
      <c r="A492" s="5"/>
      <c r="B492" s="5"/>
      <c r="C492" s="3" t="str">
        <f>IFERROR(VLOOKUP(B492,'Rekap Stock Barang'!$A$7:$G$153,2,0),"")</f>
        <v/>
      </c>
      <c r="D492" s="5"/>
    </row>
    <row r="493" spans="1:4" ht="16.5" x14ac:dyDescent="0.2">
      <c r="A493" s="5"/>
      <c r="B493" s="5"/>
      <c r="C493" s="3" t="str">
        <f>IFERROR(VLOOKUP(B493,'Rekap Stock Barang'!$A$7:$G$153,2,0),"")</f>
        <v/>
      </c>
      <c r="D493" s="5"/>
    </row>
    <row r="494" spans="1:4" ht="16.5" x14ac:dyDescent="0.2">
      <c r="A494" s="5"/>
      <c r="B494" s="5"/>
      <c r="C494" s="3" t="str">
        <f>IFERROR(VLOOKUP(B494,'Rekap Stock Barang'!$A$7:$G$153,2,0),"")</f>
        <v/>
      </c>
      <c r="D494" s="5"/>
    </row>
    <row r="495" spans="1:4" ht="16.5" x14ac:dyDescent="0.2">
      <c r="A495" s="5"/>
      <c r="B495" s="5"/>
      <c r="C495" s="3" t="str">
        <f>IFERROR(VLOOKUP(B495,'Rekap Stock Barang'!$A$7:$G$153,2,0),"")</f>
        <v/>
      </c>
      <c r="D495" s="5"/>
    </row>
    <row r="496" spans="1:4" ht="16.5" x14ac:dyDescent="0.2">
      <c r="A496" s="5"/>
      <c r="B496" s="5"/>
      <c r="C496" s="3" t="str">
        <f>IFERROR(VLOOKUP(B496,'Rekap Stock Barang'!$A$7:$G$153,2,0),"")</f>
        <v/>
      </c>
      <c r="D496" s="5"/>
    </row>
    <row r="497" spans="1:4" ht="16.5" x14ac:dyDescent="0.2">
      <c r="A497" s="5"/>
      <c r="B497" s="5"/>
      <c r="C497" s="3" t="str">
        <f>IFERROR(VLOOKUP(B497,'Rekap Stock Barang'!$A$7:$G$153,2,0),"")</f>
        <v/>
      </c>
      <c r="D497" s="5"/>
    </row>
    <row r="498" spans="1:4" ht="16.5" x14ac:dyDescent="0.2">
      <c r="A498" s="5"/>
      <c r="B498" s="5"/>
      <c r="C498" s="3" t="str">
        <f>IFERROR(VLOOKUP(B498,'Rekap Stock Barang'!$A$7:$G$153,2,0),"")</f>
        <v/>
      </c>
      <c r="D498" s="5"/>
    </row>
    <row r="499" spans="1:4" ht="16.5" x14ac:dyDescent="0.2">
      <c r="A499" s="5"/>
      <c r="B499" s="5"/>
      <c r="C499" s="3" t="str">
        <f>IFERROR(VLOOKUP(B499,'Rekap Stock Barang'!$A$7:$G$153,2,0),"")</f>
        <v/>
      </c>
      <c r="D499" s="5"/>
    </row>
    <row r="500" spans="1:4" ht="16.5" x14ac:dyDescent="0.2">
      <c r="A500" s="5"/>
      <c r="B500" s="5"/>
      <c r="C500" s="3" t="str">
        <f>IFERROR(VLOOKUP(B500,'Rekap Stock Barang'!$A$7:$G$153,2,0),"")</f>
        <v/>
      </c>
      <c r="D500" s="5"/>
    </row>
    <row r="501" spans="1:4" ht="16.5" x14ac:dyDescent="0.2">
      <c r="A501" s="5"/>
      <c r="B501" s="5"/>
      <c r="C501" s="3" t="str">
        <f>IFERROR(VLOOKUP(B501,'Rekap Stock Barang'!$A$7:$G$153,2,0),"")</f>
        <v/>
      </c>
      <c r="D501" s="5"/>
    </row>
    <row r="502" spans="1:4" ht="16.5" x14ac:dyDescent="0.2">
      <c r="A502" s="5"/>
      <c r="B502" s="5"/>
      <c r="C502" s="3" t="str">
        <f>IFERROR(VLOOKUP(B502,'Rekap Stock Barang'!$A$7:$G$153,2,0),"")</f>
        <v/>
      </c>
      <c r="D502" s="5"/>
    </row>
    <row r="503" spans="1:4" ht="16.5" x14ac:dyDescent="0.2">
      <c r="A503" s="5"/>
      <c r="B503" s="5"/>
      <c r="C503" s="3" t="str">
        <f>IFERROR(VLOOKUP(B503,'Rekap Stock Barang'!$A$7:$G$153,2,0),"")</f>
        <v/>
      </c>
      <c r="D503" s="5"/>
    </row>
    <row r="504" spans="1:4" ht="16.5" x14ac:dyDescent="0.2">
      <c r="A504" s="5"/>
      <c r="B504" s="5"/>
      <c r="C504" s="3" t="str">
        <f>IFERROR(VLOOKUP(B504,'Rekap Stock Barang'!$A$7:$G$153,2,0),"")</f>
        <v/>
      </c>
      <c r="D504" s="5"/>
    </row>
    <row r="505" spans="1:4" ht="16.5" x14ac:dyDescent="0.2">
      <c r="A505" s="5"/>
      <c r="B505" s="5"/>
      <c r="C505" s="3" t="str">
        <f>IFERROR(VLOOKUP(B505,'Rekap Stock Barang'!$A$7:$G$153,2,0),"")</f>
        <v/>
      </c>
      <c r="D505" s="5"/>
    </row>
    <row r="506" spans="1:4" ht="16.5" x14ac:dyDescent="0.2">
      <c r="A506" s="5"/>
      <c r="B506" s="5"/>
      <c r="C506" s="3" t="str">
        <f>IFERROR(VLOOKUP(B506,'Rekap Stock Barang'!$A$7:$G$153,2,0),"")</f>
        <v/>
      </c>
      <c r="D506" s="5"/>
    </row>
    <row r="507" spans="1:4" ht="16.5" x14ac:dyDescent="0.2">
      <c r="A507" s="5"/>
      <c r="B507" s="5"/>
      <c r="C507" s="3" t="str">
        <f>IFERROR(VLOOKUP(B507,'Rekap Stock Barang'!$A$7:$G$153,2,0),"")</f>
        <v/>
      </c>
      <c r="D507" s="5"/>
    </row>
    <row r="508" spans="1:4" ht="16.5" x14ac:dyDescent="0.2">
      <c r="A508" s="5"/>
      <c r="B508" s="5"/>
      <c r="C508" s="3" t="str">
        <f>IFERROR(VLOOKUP(B508,'Rekap Stock Barang'!$A$7:$G$153,2,0),"")</f>
        <v/>
      </c>
      <c r="D508" s="5"/>
    </row>
    <row r="509" spans="1:4" ht="16.5" x14ac:dyDescent="0.2">
      <c r="A509" s="5"/>
      <c r="B509" s="5"/>
      <c r="C509" s="3" t="str">
        <f>IFERROR(VLOOKUP(B509,'Rekap Stock Barang'!$A$7:$G$153,2,0),"")</f>
        <v/>
      </c>
      <c r="D509" s="5"/>
    </row>
    <row r="510" spans="1:4" ht="16.5" x14ac:dyDescent="0.2">
      <c r="A510" s="6"/>
      <c r="B510" s="5"/>
      <c r="C510" s="3" t="str">
        <f>IFERROR(VLOOKUP(B510,'Rekap Stock Barang'!$A$7:$G$153,2,0),"")</f>
        <v/>
      </c>
      <c r="D510" s="6"/>
    </row>
  </sheetData>
  <autoFilter ref="A4:D510" xr:uid="{F6C96E4B-D176-4E47-80F9-EF46E832EF45}"/>
  <mergeCells count="2">
    <mergeCell ref="A1:N1"/>
    <mergeCell ref="A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A8CF-1A82-ED47-8AB8-F2616320F00E}">
  <dimension ref="A1:N1682"/>
  <sheetViews>
    <sheetView topLeftCell="A1156" zoomScaleNormal="150" zoomScaleSheetLayoutView="100" workbookViewId="0">
      <selection activeCell="D1354" sqref="D1354"/>
    </sheetView>
  </sheetViews>
  <sheetFormatPr defaultRowHeight="15" x14ac:dyDescent="0.2"/>
  <cols>
    <col min="1" max="1" width="18.29296875" customWidth="1"/>
    <col min="2" max="2" width="18.6953125" customWidth="1"/>
    <col min="3" max="3" width="29.45703125" customWidth="1"/>
    <col min="4" max="4" width="25.9609375" customWidth="1"/>
    <col min="5" max="5" width="25.69140625" customWidth="1"/>
  </cols>
  <sheetData>
    <row r="1" spans="1:14" ht="41.25" x14ac:dyDescent="0.55000000000000004">
      <c r="A1" s="83" t="s">
        <v>62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ht="19.5" x14ac:dyDescent="0.25">
      <c r="A2" s="84" t="s">
        <v>54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4" spans="1:14" ht="16.5" x14ac:dyDescent="0.2">
      <c r="A4" s="7" t="s">
        <v>7</v>
      </c>
      <c r="B4" s="7" t="s">
        <v>251</v>
      </c>
      <c r="C4" s="2"/>
      <c r="D4" s="2"/>
    </row>
    <row r="5" spans="1:14" ht="16.5" x14ac:dyDescent="0.2">
      <c r="A5" s="24" t="s">
        <v>57</v>
      </c>
      <c r="B5" s="24" t="s">
        <v>2</v>
      </c>
      <c r="C5" s="24" t="s">
        <v>55</v>
      </c>
      <c r="D5" s="24" t="s">
        <v>61</v>
      </c>
    </row>
    <row r="6" spans="1:14" ht="16.5" x14ac:dyDescent="0.2">
      <c r="A6" s="21">
        <v>46266</v>
      </c>
      <c r="B6" s="22" t="s">
        <v>164</v>
      </c>
      <c r="C6" s="40" t="str">
        <f>IFERROR(VLOOKUP(B6,'Rekap Stock Barang'!$A$7:$G$153,2,0),"")</f>
        <v xml:space="preserve">Ekonomi </v>
      </c>
      <c r="D6" s="22">
        <v>3</v>
      </c>
      <c r="E6" s="26"/>
    </row>
    <row r="7" spans="1:14" ht="16.5" x14ac:dyDescent="0.2">
      <c r="A7" s="22"/>
      <c r="B7" s="22" t="s">
        <v>271</v>
      </c>
      <c r="C7" s="40" t="str">
        <f>IFERROR(VLOOKUP(B7,'Rekap Stock Barang'!$A$7:$G$153,2,0),"")</f>
        <v>Plastik Soup XS</v>
      </c>
      <c r="D7" s="22">
        <v>1</v>
      </c>
      <c r="E7" s="26"/>
    </row>
    <row r="8" spans="1:14" ht="16.5" x14ac:dyDescent="0.2">
      <c r="A8" s="22"/>
      <c r="B8" s="22" t="s">
        <v>148</v>
      </c>
      <c r="C8" s="40" t="str">
        <f>IFERROR(VLOOKUP(B8,'Rekap Stock Barang'!$A$7:$G$153,2,0),"")</f>
        <v>Tissue Meja</v>
      </c>
      <c r="D8" s="22">
        <v>1</v>
      </c>
      <c r="E8" s="26"/>
    </row>
    <row r="9" spans="1:14" ht="16.5" x14ac:dyDescent="0.2">
      <c r="A9" s="22"/>
      <c r="B9" s="22" t="s">
        <v>272</v>
      </c>
      <c r="C9" s="40" t="str">
        <f>IFERROR(VLOOKUP(B9,'Rekap Stock Barang'!$A$7:$G$153,2,0),"")</f>
        <v>Tepung Telur</v>
      </c>
      <c r="D9" s="22">
        <v>2</v>
      </c>
      <c r="E9" s="26"/>
    </row>
    <row r="10" spans="1:14" ht="16.5" x14ac:dyDescent="0.2">
      <c r="A10" s="22"/>
      <c r="B10" s="22" t="s">
        <v>273</v>
      </c>
      <c r="C10" s="40" t="str">
        <f>IFERROR(VLOOKUP(B10,'Rekap Stock Barang'!$A$7:$G$153,2,0),"")</f>
        <v>Sambal Bawang</v>
      </c>
      <c r="D10" s="22">
        <v>1</v>
      </c>
      <c r="E10" s="26"/>
    </row>
    <row r="11" spans="1:14" ht="16.5" x14ac:dyDescent="0.2">
      <c r="A11" s="8"/>
      <c r="B11" s="53" t="s">
        <v>130</v>
      </c>
      <c r="C11" s="54" t="str">
        <f>IFERROR(VLOOKUP(B11,'Rekap Stock Barang'!$A$7:$G$153,2,0),"")</f>
        <v>Plastik Sampah S</v>
      </c>
      <c r="D11" s="53">
        <v>1</v>
      </c>
      <c r="E11" s="26"/>
    </row>
    <row r="12" spans="1:14" ht="16.5" x14ac:dyDescent="0.2">
      <c r="A12" s="8"/>
      <c r="B12" s="53" t="s">
        <v>131</v>
      </c>
      <c r="C12" s="54" t="str">
        <f>IFERROR(VLOOKUP(B12,'Rekap Stock Barang'!$A$7:$G$153,2,0),"")</f>
        <v>Plastik Sampah M</v>
      </c>
      <c r="D12" s="53">
        <v>1</v>
      </c>
      <c r="E12" s="26"/>
    </row>
    <row r="13" spans="1:14" ht="16.5" x14ac:dyDescent="0.2">
      <c r="A13" s="8"/>
      <c r="B13" s="53" t="s">
        <v>132</v>
      </c>
      <c r="C13" s="54" t="str">
        <f>IFERROR(VLOOKUP(B13,'Rekap Stock Barang'!$A$7:$G$153,2,0),"")</f>
        <v>Plastik Sampah L</v>
      </c>
      <c r="D13" s="53">
        <v>1</v>
      </c>
      <c r="E13" s="26"/>
    </row>
    <row r="14" spans="1:14" ht="16.5" x14ac:dyDescent="0.2">
      <c r="A14" s="8"/>
      <c r="B14" s="53" t="s">
        <v>274</v>
      </c>
      <c r="C14" s="54" t="str">
        <f>IFERROR(VLOOKUP(B14,'Rekap Stock Barang'!$A$7:$G$153,2,0),"")</f>
        <v>Plastik Sampah XL</v>
      </c>
      <c r="D14" s="53">
        <v>1</v>
      </c>
      <c r="E14" s="26"/>
    </row>
    <row r="15" spans="1:14" ht="16.5" x14ac:dyDescent="0.2">
      <c r="A15" s="22"/>
      <c r="B15" s="55" t="s">
        <v>236</v>
      </c>
      <c r="C15" s="56" t="str">
        <f>IFERROR(VLOOKUP(B15,'Rekap Stock Barang'!$A$7:$G$153,2,0),"")</f>
        <v xml:space="preserve">Paha Gurih Manis </v>
      </c>
      <c r="D15" s="55">
        <v>2</v>
      </c>
      <c r="E15" s="26"/>
    </row>
    <row r="16" spans="1:14" ht="16.5" x14ac:dyDescent="0.2">
      <c r="A16" s="22"/>
      <c r="B16" s="55" t="s">
        <v>241</v>
      </c>
      <c r="C16" s="56" t="str">
        <f>IFERROR(VLOOKUP(B16,'Rekap Stock Barang'!$A$7:$G$153,2,0),"")</f>
        <v>Dada Gurih Manis</v>
      </c>
      <c r="D16" s="55">
        <v>0</v>
      </c>
      <c r="E16" s="26"/>
    </row>
    <row r="17" spans="1:5" ht="16.5" x14ac:dyDescent="0.2">
      <c r="A17" s="22"/>
      <c r="B17" s="55" t="s">
        <v>16</v>
      </c>
      <c r="C17" s="56" t="str">
        <f>IFERROR(VLOOKUP(B17,'Rekap Stock Barang'!$A$7:$G$153,2,0),"")</f>
        <v>Paha</v>
      </c>
      <c r="D17" s="55">
        <v>6</v>
      </c>
      <c r="E17" s="26"/>
    </row>
    <row r="18" spans="1:5" ht="16.5" x14ac:dyDescent="0.2">
      <c r="A18" s="22"/>
      <c r="B18" s="55" t="s">
        <v>19</v>
      </c>
      <c r="C18" s="56" t="str">
        <f>IFERROR(VLOOKUP(B18,'Rekap Stock Barang'!$A$7:$G$153,2,0),"")</f>
        <v>Dada</v>
      </c>
      <c r="D18" s="55">
        <v>4</v>
      </c>
      <c r="E18" s="26"/>
    </row>
    <row r="19" spans="1:5" ht="16.5" x14ac:dyDescent="0.2">
      <c r="A19" s="22"/>
      <c r="B19" s="55" t="s">
        <v>8</v>
      </c>
      <c r="C19" s="56" t="str">
        <f>IFERROR(VLOOKUP(B19,'Rekap Stock Barang'!$A$7:$G$153,2,0),"")</f>
        <v xml:space="preserve">Ayam Suwir </v>
      </c>
      <c r="D19" s="55">
        <v>9</v>
      </c>
      <c r="E19" s="26"/>
    </row>
    <row r="20" spans="1:5" ht="16.5" x14ac:dyDescent="0.2">
      <c r="A20" s="22"/>
      <c r="B20" s="55" t="s">
        <v>9</v>
      </c>
      <c r="C20" s="56" t="str">
        <f>IFERROR(VLOOKUP(B20,'Rekap Stock Barang'!$A$7:$G$153,2,0),"")</f>
        <v xml:space="preserve">Topping Kwetiau </v>
      </c>
      <c r="D20" s="55">
        <v>3</v>
      </c>
      <c r="E20" s="26"/>
    </row>
    <row r="21" spans="1:5" ht="16.5" x14ac:dyDescent="0.2">
      <c r="A21" s="22"/>
      <c r="B21" s="55" t="s">
        <v>243</v>
      </c>
      <c r="C21" s="56" t="str">
        <f>IFERROR(VLOOKUP(B21,'Rekap Stock Barang'!$A$7:$G$153,2,0),"")</f>
        <v xml:space="preserve">Daging Slice </v>
      </c>
      <c r="D21" s="55">
        <v>3</v>
      </c>
      <c r="E21" s="26"/>
    </row>
    <row r="22" spans="1:5" ht="16.5" x14ac:dyDescent="0.2">
      <c r="A22" s="22"/>
      <c r="B22" s="55" t="s">
        <v>14</v>
      </c>
      <c r="C22" s="56" t="str">
        <f>IFERROR(VLOOKUP(B22,'Rekap Stock Barang'!$A$7:$G$153,2,0),"")</f>
        <v>Ayam Jamur</v>
      </c>
      <c r="D22" s="55">
        <v>2</v>
      </c>
      <c r="E22" s="26"/>
    </row>
    <row r="23" spans="1:5" ht="16.5" x14ac:dyDescent="0.2">
      <c r="A23" s="22"/>
      <c r="B23" s="55" t="s">
        <v>20</v>
      </c>
      <c r="C23" s="56" t="str">
        <f>IFERROR(VLOOKUP(B23,'Rekap Stock Barang'!$A$7:$G$153,2,0),"")</f>
        <v>Cumi</v>
      </c>
      <c r="D23" s="55">
        <v>5</v>
      </c>
      <c r="E23" s="26"/>
    </row>
    <row r="24" spans="1:5" ht="16.5" x14ac:dyDescent="0.2">
      <c r="A24" s="22"/>
      <c r="B24" s="55" t="s">
        <v>38</v>
      </c>
      <c r="C24" s="56" t="str">
        <f>IFERROR(VLOOKUP(B24,'Rekap Stock Barang'!$A$7:$G$153,2,0),"")</f>
        <v>Daging Sambal HIjau</v>
      </c>
      <c r="D24" s="55">
        <v>1</v>
      </c>
      <c r="E24" s="26"/>
    </row>
    <row r="25" spans="1:5" ht="16.5" x14ac:dyDescent="0.2">
      <c r="A25" s="22"/>
      <c r="B25" s="55" t="s">
        <v>22</v>
      </c>
      <c r="C25" s="56" t="str">
        <f>IFERROR(VLOOKUP(B25,'Rekap Stock Barang'!$A$7:$G$153,2,0),"")</f>
        <v>Kulit</v>
      </c>
      <c r="D25" s="55">
        <v>7</v>
      </c>
      <c r="E25" s="26"/>
    </row>
    <row r="26" spans="1:5" ht="16.5" x14ac:dyDescent="0.2">
      <c r="A26" s="22"/>
      <c r="B26" s="55" t="s">
        <v>24</v>
      </c>
      <c r="C26" s="56" t="str">
        <f>IFERROR(VLOOKUP(B26,'Rekap Stock Barang'!$A$7:$G$153,2,0),"")</f>
        <v xml:space="preserve">Lidah </v>
      </c>
      <c r="D26" s="55">
        <v>1</v>
      </c>
      <c r="E26" s="26"/>
    </row>
    <row r="27" spans="1:5" ht="16.5" x14ac:dyDescent="0.2">
      <c r="A27" s="22"/>
      <c r="B27" s="55" t="s">
        <v>275</v>
      </c>
      <c r="C27" s="56" t="str">
        <f>IFERROR(VLOOKUP(B27,'Rekap Stock Barang'!$A$7:$G$153,2,0),"")</f>
        <v xml:space="preserve">Teri Pete </v>
      </c>
      <c r="D27" s="55">
        <v>2</v>
      </c>
      <c r="E27" s="26"/>
    </row>
    <row r="28" spans="1:5" ht="16.5" x14ac:dyDescent="0.2">
      <c r="A28" s="22"/>
      <c r="B28" s="55" t="s">
        <v>10</v>
      </c>
      <c r="C28" s="56" t="str">
        <f>IFERROR(VLOOKUP(B28,'Rekap Stock Barang'!$A$7:$G$153,2,0),"")</f>
        <v>Topping Mbakmoy</v>
      </c>
      <c r="D28" s="55">
        <v>2</v>
      </c>
      <c r="E28" s="26"/>
    </row>
    <row r="29" spans="1:5" ht="16.5" x14ac:dyDescent="0.2">
      <c r="A29" s="22"/>
      <c r="B29" s="55" t="s">
        <v>276</v>
      </c>
      <c r="C29" s="56" t="str">
        <f>IFERROR(VLOOKUP(B29,'Rekap Stock Barang'!$A$7:$G$153,2,0),"")</f>
        <v>Sambal Baby Cumi</v>
      </c>
      <c r="D29" s="55">
        <v>8</v>
      </c>
      <c r="E29" s="26"/>
    </row>
    <row r="30" spans="1:5" ht="16.5" x14ac:dyDescent="0.2">
      <c r="A30" s="22"/>
      <c r="B30" s="57" t="s">
        <v>31</v>
      </c>
      <c r="C30" s="58" t="str">
        <f>IFERROR(VLOOKUP(B30,'Rekap Stock Barang'!$A$7:$G$153,2,0),"")</f>
        <v>Bagor</v>
      </c>
      <c r="D30" s="57">
        <v>6</v>
      </c>
      <c r="E30" s="26"/>
    </row>
    <row r="31" spans="1:5" ht="16.5" x14ac:dyDescent="0.2">
      <c r="A31" s="22"/>
      <c r="B31" s="57" t="s">
        <v>178</v>
      </c>
      <c r="C31" s="58" t="str">
        <f>IFERROR(VLOOKUP(B31,'Rekap Stock Barang'!$A$7:$G$153,2,0),"")</f>
        <v xml:space="preserve">Cireng </v>
      </c>
      <c r="D31" s="57">
        <v>1</v>
      </c>
      <c r="E31" s="26"/>
    </row>
    <row r="32" spans="1:5" ht="16.5" x14ac:dyDescent="0.2">
      <c r="A32" s="22"/>
      <c r="B32" s="57" t="s">
        <v>238</v>
      </c>
      <c r="C32" s="58" t="str">
        <f>IFERROR(VLOOKUP(B32,'Rekap Stock Barang'!$A$7:$G$153,2,0),"")</f>
        <v>Sayap Goreng</v>
      </c>
      <c r="D32" s="57">
        <v>0</v>
      </c>
      <c r="E32" s="26"/>
    </row>
    <row r="33" spans="1:5" ht="16.5" x14ac:dyDescent="0.2">
      <c r="A33" s="22"/>
      <c r="B33" s="59" t="s">
        <v>175</v>
      </c>
      <c r="C33" s="60" t="str">
        <f>IFERROR(VLOOKUP(B33,'Rekap Stock Barang'!$A$7:$G$153,2,0),"")</f>
        <v>Mineral</v>
      </c>
      <c r="D33" s="59">
        <v>26</v>
      </c>
      <c r="E33" s="26"/>
    </row>
    <row r="34" spans="1:5" ht="16.5" x14ac:dyDescent="0.2">
      <c r="A34" s="22"/>
      <c r="B34" s="59" t="s">
        <v>170</v>
      </c>
      <c r="C34" s="60" t="str">
        <f>IFERROR(VLOOKUP(B34,'Rekap Stock Barang'!$A$7:$G$153,2,0),"")</f>
        <v>Air Tahu</v>
      </c>
      <c r="D34" s="59">
        <v>3</v>
      </c>
      <c r="E34" s="26"/>
    </row>
    <row r="35" spans="1:5" ht="16.5" x14ac:dyDescent="0.2">
      <c r="A35" s="22"/>
      <c r="B35" s="59" t="s">
        <v>229</v>
      </c>
      <c r="C35" s="60" t="str">
        <f>IFERROR(VLOOKUP(B35,'Rekap Stock Barang'!$A$7:$G$153,2,0),"")</f>
        <v xml:space="preserve">Manggo Juice </v>
      </c>
      <c r="D35" s="59">
        <v>0</v>
      </c>
      <c r="E35" s="26"/>
    </row>
    <row r="36" spans="1:5" ht="16.5" x14ac:dyDescent="0.2">
      <c r="A36" s="22"/>
      <c r="B36" s="59" t="s">
        <v>226</v>
      </c>
      <c r="C36" s="60" t="str">
        <f>IFERROR(VLOOKUP(B36,'Rekap Stock Barang'!$A$7:$G$153,2,0),"")</f>
        <v>Mix Berries</v>
      </c>
      <c r="D36" s="59">
        <v>0</v>
      </c>
      <c r="E36" s="26"/>
    </row>
    <row r="37" spans="1:5" ht="17.25" thickBot="1" x14ac:dyDescent="0.25">
      <c r="A37" s="61"/>
      <c r="B37" s="62" t="s">
        <v>223</v>
      </c>
      <c r="C37" s="63" t="str">
        <f>IFERROR(VLOOKUP(B37,'Rekap Stock Barang'!$A$7:$G$153,2,0),"")</f>
        <v>Sirsak Juice</v>
      </c>
      <c r="D37" s="62">
        <v>0</v>
      </c>
      <c r="E37" s="26"/>
    </row>
    <row r="38" spans="1:5" ht="16.5" x14ac:dyDescent="0.2">
      <c r="A38" s="68">
        <v>46267</v>
      </c>
      <c r="B38" s="23" t="s">
        <v>280</v>
      </c>
      <c r="C38" s="64" t="str">
        <f>IFERROR(VLOOKUP(B38,'Rekap Stock Barang'!$A$7:$G$153,2,0),"")</f>
        <v xml:space="preserve">Bumbu Racik </v>
      </c>
      <c r="D38" s="23">
        <v>1</v>
      </c>
      <c r="E38" s="26"/>
    </row>
    <row r="39" spans="1:5" ht="16.5" x14ac:dyDescent="0.2">
      <c r="A39" s="22"/>
      <c r="B39" s="22" t="s">
        <v>50</v>
      </c>
      <c r="C39" s="40" t="str">
        <f>IFERROR(VLOOKUP(B39,'Rekap Stock Barang'!$A$7:$G$153,2,0),"")</f>
        <v xml:space="preserve">Bumbu Teri </v>
      </c>
      <c r="D39" s="22">
        <v>1</v>
      </c>
      <c r="E39" s="26"/>
    </row>
    <row r="40" spans="1:5" ht="16.5" x14ac:dyDescent="0.2">
      <c r="A40" s="22"/>
      <c r="B40" s="22" t="s">
        <v>181</v>
      </c>
      <c r="C40" s="40" t="str">
        <f>IFERROR(VLOOKUP(B40,'Rekap Stock Barang'!$A$7:$G$153,2,0),"")</f>
        <v xml:space="preserve">Sagu Mutiara </v>
      </c>
      <c r="D40" s="22">
        <v>1</v>
      </c>
      <c r="E40" s="26"/>
    </row>
    <row r="41" spans="1:5" ht="16.5" x14ac:dyDescent="0.2">
      <c r="A41" s="22"/>
      <c r="B41" s="22" t="s">
        <v>215</v>
      </c>
      <c r="C41" s="40" t="str">
        <f>IFERROR(VLOOKUP(B41,'Rekap Stock Barang'!$A$7:$G$153,2,0),"")</f>
        <v>Cup Ice</v>
      </c>
      <c r="D41" s="22">
        <v>1</v>
      </c>
      <c r="E41" s="26"/>
    </row>
    <row r="42" spans="1:5" ht="16.5" x14ac:dyDescent="0.2">
      <c r="A42" s="22"/>
      <c r="B42" s="22" t="s">
        <v>281</v>
      </c>
      <c r="C42" s="40" t="str">
        <f>IFERROR(VLOOKUP(B42,'Rekap Stock Barang'!$A$7:$G$153,2,0),"")</f>
        <v>Diamond Milk</v>
      </c>
      <c r="D42" s="22">
        <v>1</v>
      </c>
      <c r="E42" s="26"/>
    </row>
    <row r="43" spans="1:5" ht="16.5" x14ac:dyDescent="0.2">
      <c r="A43" s="22"/>
      <c r="B43" s="22" t="s">
        <v>203</v>
      </c>
      <c r="C43" s="40" t="str">
        <f>IFERROR(VLOOKUP(B43,'Rekap Stock Barang'!$A$7:$G$153,2,0),"")</f>
        <v>Apple Juice Diamond</v>
      </c>
      <c r="D43" s="22">
        <v>1</v>
      </c>
      <c r="E43" s="26"/>
    </row>
    <row r="44" spans="1:5" ht="16.5" x14ac:dyDescent="0.2">
      <c r="A44" s="22"/>
      <c r="B44" s="22" t="s">
        <v>204</v>
      </c>
      <c r="C44" s="40" t="str">
        <f>IFERROR(VLOOKUP(B44,'Rekap Stock Barang'!$A$7:$G$153,2,0),"")</f>
        <v xml:space="preserve">Gula </v>
      </c>
      <c r="D44" s="22">
        <v>1</v>
      </c>
      <c r="E44" s="26"/>
    </row>
    <row r="45" spans="1:5" ht="16.5" x14ac:dyDescent="0.2">
      <c r="A45" s="22"/>
      <c r="B45" s="22" t="s">
        <v>191</v>
      </c>
      <c r="C45" s="40" t="str">
        <f>IFERROR(VLOOKUP(B45,'Rekap Stock Barang'!$A$7:$G$153,2,0),"")</f>
        <v>Sun Cara 1L</v>
      </c>
      <c r="D45" s="22">
        <v>1</v>
      </c>
      <c r="E45" s="26"/>
    </row>
    <row r="46" spans="1:5" ht="16.5" x14ac:dyDescent="0.2">
      <c r="A46" s="22"/>
      <c r="B46" s="22" t="s">
        <v>217</v>
      </c>
      <c r="C46" s="40" t="str">
        <f>IFERROR(VLOOKUP(B46,'Rekap Stock Barang'!$A$7:$G$153,2,0),"")</f>
        <v>Thermal Paper</v>
      </c>
      <c r="D46" s="22">
        <v>3</v>
      </c>
      <c r="E46" s="26"/>
    </row>
    <row r="47" spans="1:5" ht="16.5" x14ac:dyDescent="0.2">
      <c r="A47" s="22"/>
      <c r="B47" s="22" t="s">
        <v>282</v>
      </c>
      <c r="C47" s="40" t="str">
        <f>IFERROR(VLOOKUP(B47,'Rekap Stock Barang'!$A$7:$G$153,2,0),"")</f>
        <v>Bumbu Kwetiau</v>
      </c>
      <c r="D47" s="22">
        <v>1</v>
      </c>
      <c r="E47" s="26"/>
    </row>
    <row r="48" spans="1:5" ht="16.5" x14ac:dyDescent="0.2">
      <c r="A48" s="22"/>
      <c r="B48" s="22" t="s">
        <v>273</v>
      </c>
      <c r="C48" s="40" t="str">
        <f>IFERROR(VLOOKUP(B48,'Rekap Stock Barang'!$A$7:$G$153,2,0),"")</f>
        <v>Sambal Bawang</v>
      </c>
      <c r="D48" s="22">
        <v>1</v>
      </c>
      <c r="E48" s="26"/>
    </row>
    <row r="49" spans="1:5" ht="16.5" x14ac:dyDescent="0.2">
      <c r="A49" s="22"/>
      <c r="B49" s="22" t="s">
        <v>201</v>
      </c>
      <c r="C49" s="40" t="str">
        <f>IFERROR(VLOOKUP(B49,'Rekap Stock Barang'!$A$7:$G$153,2,0),"")</f>
        <v xml:space="preserve">Soda Polaris </v>
      </c>
      <c r="D49" s="22">
        <v>2</v>
      </c>
      <c r="E49" s="26"/>
    </row>
    <row r="50" spans="1:5" ht="16.5" x14ac:dyDescent="0.2">
      <c r="A50" s="21"/>
      <c r="B50" s="22" t="s">
        <v>272</v>
      </c>
      <c r="C50" s="40" t="str">
        <f>IFERROR(VLOOKUP(B50,'Rekap Stock Barang'!$A$7:$G$153,2,0),"")</f>
        <v>Tepung Telur</v>
      </c>
      <c r="D50" s="22">
        <v>4</v>
      </c>
      <c r="E50" s="26"/>
    </row>
    <row r="51" spans="1:5" ht="16.5" x14ac:dyDescent="0.2">
      <c r="A51" s="21"/>
      <c r="B51" s="22" t="s">
        <v>164</v>
      </c>
      <c r="C51" s="40" t="str">
        <f>IFERROR(VLOOKUP(B51,'Rekap Stock Barang'!$A$7:$G$153,2,0),"")</f>
        <v xml:space="preserve">Ekonomi </v>
      </c>
      <c r="D51" s="22">
        <v>5</v>
      </c>
      <c r="E51" s="26"/>
    </row>
    <row r="52" spans="1:5" ht="16.5" x14ac:dyDescent="0.2">
      <c r="A52" s="21"/>
      <c r="B52" s="22" t="s">
        <v>283</v>
      </c>
      <c r="C52" s="40" t="str">
        <f>IFERROR(VLOOKUP(B52,'Rekap Stock Barang'!$A$7:$G$153,2,0),"")</f>
        <v>Sambal Petis</v>
      </c>
      <c r="D52" s="22">
        <v>1</v>
      </c>
      <c r="E52" s="26"/>
    </row>
    <row r="53" spans="1:5" ht="16.5" x14ac:dyDescent="0.2">
      <c r="A53" s="21"/>
      <c r="B53" s="22" t="s">
        <v>270</v>
      </c>
      <c r="C53" s="40" t="str">
        <f>IFERROR(VLOOKUP(B53,'Rekap Stock Barang'!$A$7:$G$153,2,0),"")</f>
        <v>Tissue Toilet</v>
      </c>
      <c r="D53" s="22">
        <v>2</v>
      </c>
      <c r="E53" s="26"/>
    </row>
    <row r="54" spans="1:5" ht="16.5" x14ac:dyDescent="0.2">
      <c r="A54" s="8"/>
      <c r="B54" s="53" t="s">
        <v>130</v>
      </c>
      <c r="C54" s="54" t="str">
        <f>IFERROR(VLOOKUP(B54,'Rekap Stock Barang'!$A$7:$G$153,2,0),"")</f>
        <v>Plastik Sampah S</v>
      </c>
      <c r="D54" s="53">
        <v>4</v>
      </c>
      <c r="E54" s="26"/>
    </row>
    <row r="55" spans="1:5" ht="16.5" x14ac:dyDescent="0.2">
      <c r="A55" s="8"/>
      <c r="B55" s="53" t="s">
        <v>131</v>
      </c>
      <c r="C55" s="54" t="str">
        <f>IFERROR(VLOOKUP(B55,'Rekap Stock Barang'!$A$7:$G$153,2,0),"")</f>
        <v>Plastik Sampah M</v>
      </c>
      <c r="D55" s="53">
        <v>2</v>
      </c>
      <c r="E55" s="26"/>
    </row>
    <row r="56" spans="1:5" ht="16.5" x14ac:dyDescent="0.2">
      <c r="A56" s="8"/>
      <c r="B56" s="53" t="s">
        <v>132</v>
      </c>
      <c r="C56" s="54" t="str">
        <f>IFERROR(VLOOKUP(B56,'Rekap Stock Barang'!$A$7:$G$153,2,0),"")</f>
        <v>Plastik Sampah L</v>
      </c>
      <c r="D56" s="53">
        <v>2</v>
      </c>
      <c r="E56" s="26"/>
    </row>
    <row r="57" spans="1:5" ht="16.5" x14ac:dyDescent="0.2">
      <c r="A57" s="8"/>
      <c r="B57" s="53" t="s">
        <v>274</v>
      </c>
      <c r="C57" s="54" t="str">
        <f>IFERROR(VLOOKUP(B57,'Rekap Stock Barang'!$A$7:$G$153,2,0),"")</f>
        <v>Plastik Sampah XL</v>
      </c>
      <c r="D57" s="53">
        <v>1</v>
      </c>
      <c r="E57" s="26"/>
    </row>
    <row r="58" spans="1:5" ht="16.5" x14ac:dyDescent="0.2">
      <c r="A58" s="22"/>
      <c r="B58" s="55" t="s">
        <v>236</v>
      </c>
      <c r="C58" s="56" t="str">
        <f>IFERROR(VLOOKUP(B58,'Rekap Stock Barang'!$A$7:$G$153,2,0),"")</f>
        <v xml:space="preserve">Paha Gurih Manis </v>
      </c>
      <c r="D58" s="55">
        <v>6</v>
      </c>
      <c r="E58" s="26"/>
    </row>
    <row r="59" spans="1:5" ht="16.5" x14ac:dyDescent="0.2">
      <c r="A59" s="22"/>
      <c r="B59" s="55" t="s">
        <v>241</v>
      </c>
      <c r="C59" s="56" t="str">
        <f>IFERROR(VLOOKUP(B59,'Rekap Stock Barang'!$A$7:$G$153,2,0),"")</f>
        <v>Dada Gurih Manis</v>
      </c>
      <c r="D59" s="55">
        <v>2</v>
      </c>
      <c r="E59" s="26"/>
    </row>
    <row r="60" spans="1:5" ht="16.5" x14ac:dyDescent="0.2">
      <c r="A60" s="22"/>
      <c r="B60" s="55" t="s">
        <v>16</v>
      </c>
      <c r="C60" s="56" t="str">
        <f>IFERROR(VLOOKUP(B60,'Rekap Stock Barang'!$A$7:$G$153,2,0),"")</f>
        <v>Paha</v>
      </c>
      <c r="D60" s="55">
        <v>12</v>
      </c>
      <c r="E60" s="26"/>
    </row>
    <row r="61" spans="1:5" ht="16.5" x14ac:dyDescent="0.2">
      <c r="A61" s="22"/>
      <c r="B61" s="55" t="s">
        <v>19</v>
      </c>
      <c r="C61" s="56" t="str">
        <f>IFERROR(VLOOKUP(B61,'Rekap Stock Barang'!$A$7:$G$153,2,0),"")</f>
        <v>Dada</v>
      </c>
      <c r="D61" s="55">
        <v>5</v>
      </c>
      <c r="E61" s="26"/>
    </row>
    <row r="62" spans="1:5" ht="16.5" x14ac:dyDescent="0.2">
      <c r="A62" s="22"/>
      <c r="B62" s="55" t="s">
        <v>8</v>
      </c>
      <c r="C62" s="56" t="str">
        <f>IFERROR(VLOOKUP(B62,'Rekap Stock Barang'!$A$7:$G$153,2,0),"")</f>
        <v xml:space="preserve">Ayam Suwir </v>
      </c>
      <c r="D62" s="55">
        <v>9</v>
      </c>
      <c r="E62" s="26"/>
    </row>
    <row r="63" spans="1:5" ht="16.5" x14ac:dyDescent="0.2">
      <c r="A63" s="22"/>
      <c r="B63" s="55" t="s">
        <v>9</v>
      </c>
      <c r="C63" s="56" t="str">
        <f>IFERROR(VLOOKUP(B63,'Rekap Stock Barang'!$A$7:$G$153,2,0),"")</f>
        <v xml:space="preserve">Topping Kwetiau </v>
      </c>
      <c r="D63" s="55">
        <v>14</v>
      </c>
      <c r="E63" s="26"/>
    </row>
    <row r="64" spans="1:5" ht="16.5" x14ac:dyDescent="0.2">
      <c r="A64" s="22"/>
      <c r="B64" s="55" t="s">
        <v>243</v>
      </c>
      <c r="C64" s="56" t="str">
        <f>IFERROR(VLOOKUP(B64,'Rekap Stock Barang'!$A$7:$G$153,2,0),"")</f>
        <v xml:space="preserve">Daging Slice </v>
      </c>
      <c r="D64" s="55">
        <v>0</v>
      </c>
      <c r="E64" s="26"/>
    </row>
    <row r="65" spans="1:5" ht="16.5" x14ac:dyDescent="0.2">
      <c r="A65" s="22"/>
      <c r="B65" s="55" t="s">
        <v>14</v>
      </c>
      <c r="C65" s="56" t="str">
        <f>IFERROR(VLOOKUP(B65,'Rekap Stock Barang'!$A$7:$G$153,2,0),"")</f>
        <v>Ayam Jamur</v>
      </c>
      <c r="D65" s="55">
        <v>4</v>
      </c>
      <c r="E65" s="26"/>
    </row>
    <row r="66" spans="1:5" ht="16.5" x14ac:dyDescent="0.2">
      <c r="A66" s="22"/>
      <c r="B66" s="55" t="s">
        <v>20</v>
      </c>
      <c r="C66" s="56" t="str">
        <f>IFERROR(VLOOKUP(B66,'Rekap Stock Barang'!$A$7:$G$153,2,0),"")</f>
        <v>Cumi</v>
      </c>
      <c r="D66" s="55">
        <v>15</v>
      </c>
      <c r="E66" s="26"/>
    </row>
    <row r="67" spans="1:5" ht="16.5" x14ac:dyDescent="0.2">
      <c r="A67" s="22"/>
      <c r="B67" s="55" t="s">
        <v>38</v>
      </c>
      <c r="C67" s="56" t="str">
        <f>IFERROR(VLOOKUP(B67,'Rekap Stock Barang'!$A$7:$G$153,2,0),"")</f>
        <v>Daging Sambal HIjau</v>
      </c>
      <c r="D67" s="55">
        <v>4</v>
      </c>
      <c r="E67" s="26"/>
    </row>
    <row r="68" spans="1:5" ht="16.5" x14ac:dyDescent="0.2">
      <c r="A68" s="22"/>
      <c r="B68" s="55" t="s">
        <v>22</v>
      </c>
      <c r="C68" s="56" t="str">
        <f>IFERROR(VLOOKUP(B68,'Rekap Stock Barang'!$A$7:$G$153,2,0),"")</f>
        <v>Kulit</v>
      </c>
      <c r="D68" s="55">
        <v>9</v>
      </c>
      <c r="E68" s="26"/>
    </row>
    <row r="69" spans="1:5" ht="16.5" x14ac:dyDescent="0.2">
      <c r="A69" s="22"/>
      <c r="B69" s="55" t="s">
        <v>28</v>
      </c>
      <c r="C69" s="56" t="str">
        <f>IFERROR(VLOOKUP(B69,'Rekap Stock Barang'!$A$7:$G$153,2,0),"")</f>
        <v xml:space="preserve">Topping Nasi Gila </v>
      </c>
      <c r="D69" s="55">
        <v>4</v>
      </c>
      <c r="E69" s="26"/>
    </row>
    <row r="70" spans="1:5" ht="16.5" x14ac:dyDescent="0.2">
      <c r="A70" s="22"/>
      <c r="B70" s="55" t="s">
        <v>24</v>
      </c>
      <c r="C70" s="56" t="str">
        <f>IFERROR(VLOOKUP(B70,'Rekap Stock Barang'!$A$7:$G$153,2,0),"")</f>
        <v xml:space="preserve">Lidah </v>
      </c>
      <c r="D70" s="55">
        <v>7</v>
      </c>
      <c r="E70" s="26"/>
    </row>
    <row r="71" spans="1:5" ht="16.5" x14ac:dyDescent="0.2">
      <c r="A71" s="22"/>
      <c r="B71" s="55" t="s">
        <v>275</v>
      </c>
      <c r="C71" s="56" t="str">
        <f>IFERROR(VLOOKUP(B71,'Rekap Stock Barang'!$A$7:$G$153,2,0),"")</f>
        <v xml:space="preserve">Teri Pete </v>
      </c>
      <c r="D71" s="55">
        <v>6</v>
      </c>
      <c r="E71" s="26"/>
    </row>
    <row r="72" spans="1:5" ht="16.5" x14ac:dyDescent="0.2">
      <c r="A72" s="22"/>
      <c r="B72" s="55" t="s">
        <v>10</v>
      </c>
      <c r="C72" s="56" t="str">
        <f>IFERROR(VLOOKUP(B72,'Rekap Stock Barang'!$A$7:$G$153,2,0),"")</f>
        <v>Topping Mbakmoy</v>
      </c>
      <c r="D72" s="55">
        <v>2</v>
      </c>
      <c r="E72" s="26"/>
    </row>
    <row r="73" spans="1:5" ht="16.5" x14ac:dyDescent="0.2">
      <c r="A73" s="22"/>
      <c r="B73" s="55" t="s">
        <v>276</v>
      </c>
      <c r="C73" s="56" t="str">
        <f>IFERROR(VLOOKUP(B73,'Rekap Stock Barang'!$A$7:$G$153,2,0),"")</f>
        <v>Sambal Baby Cumi</v>
      </c>
      <c r="D73" s="55">
        <v>13</v>
      </c>
      <c r="E73" s="26"/>
    </row>
    <row r="74" spans="1:5" ht="16.5" x14ac:dyDescent="0.2">
      <c r="A74" s="22"/>
      <c r="B74" s="57" t="s">
        <v>31</v>
      </c>
      <c r="C74" s="58" t="str">
        <f>IFERROR(VLOOKUP(B74,'Rekap Stock Barang'!$A$7:$G$153,2,0),"")</f>
        <v>Bagor</v>
      </c>
      <c r="D74" s="57">
        <v>17</v>
      </c>
      <c r="E74" s="26"/>
    </row>
    <row r="75" spans="1:5" ht="16.5" x14ac:dyDescent="0.2">
      <c r="A75" s="22"/>
      <c r="B75" s="57" t="s">
        <v>178</v>
      </c>
      <c r="C75" s="58" t="str">
        <f>IFERROR(VLOOKUP(B75,'Rekap Stock Barang'!$A$7:$G$153,2,0),"")</f>
        <v xml:space="preserve">Cireng </v>
      </c>
      <c r="D75" s="57">
        <v>2</v>
      </c>
      <c r="E75" s="26"/>
    </row>
    <row r="76" spans="1:5" ht="16.5" x14ac:dyDescent="0.2">
      <c r="A76" s="22"/>
      <c r="B76" s="57" t="s">
        <v>238</v>
      </c>
      <c r="C76" s="58" t="str">
        <f>IFERROR(VLOOKUP(B76,'Rekap Stock Barang'!$A$7:$G$153,2,0),"")</f>
        <v>Sayap Goreng</v>
      </c>
      <c r="D76" s="57">
        <v>2</v>
      </c>
      <c r="E76" s="26"/>
    </row>
    <row r="77" spans="1:5" ht="16.5" x14ac:dyDescent="0.2">
      <c r="A77" s="22"/>
      <c r="B77" s="59" t="s">
        <v>175</v>
      </c>
      <c r="C77" s="60" t="str">
        <f>IFERROR(VLOOKUP(B77,'Rekap Stock Barang'!$A$7:$G$153,2,0),"")</f>
        <v>Mineral</v>
      </c>
      <c r="D77" s="59">
        <v>37</v>
      </c>
      <c r="E77" s="26"/>
    </row>
    <row r="78" spans="1:5" ht="16.5" x14ac:dyDescent="0.2">
      <c r="A78" s="22"/>
      <c r="B78" s="59" t="s">
        <v>170</v>
      </c>
      <c r="C78" s="60" t="str">
        <f>IFERROR(VLOOKUP(B78,'Rekap Stock Barang'!$A$7:$G$153,2,0),"")</f>
        <v>Air Tahu</v>
      </c>
      <c r="D78" s="59">
        <v>4</v>
      </c>
      <c r="E78" s="26"/>
    </row>
    <row r="79" spans="1:5" ht="16.5" x14ac:dyDescent="0.2">
      <c r="A79" s="22"/>
      <c r="B79" s="59" t="s">
        <v>229</v>
      </c>
      <c r="C79" s="60" t="str">
        <f>IFERROR(VLOOKUP(B79,'Rekap Stock Barang'!$A$7:$G$153,2,0),"")</f>
        <v xml:space="preserve">Manggo Juice </v>
      </c>
      <c r="D79" s="59">
        <v>1</v>
      </c>
      <c r="E79" s="26"/>
    </row>
    <row r="80" spans="1:5" ht="16.5" x14ac:dyDescent="0.2">
      <c r="A80" s="22"/>
      <c r="B80" s="59" t="s">
        <v>226</v>
      </c>
      <c r="C80" s="60" t="str">
        <f>IFERROR(VLOOKUP(B80,'Rekap Stock Barang'!$A$7:$G$153,2,0),"")</f>
        <v>Mix Berries</v>
      </c>
      <c r="D80" s="59">
        <v>2</v>
      </c>
      <c r="E80" s="26"/>
    </row>
    <row r="81" spans="1:5" ht="16.5" x14ac:dyDescent="0.2">
      <c r="A81" s="69"/>
      <c r="B81" s="70" t="s">
        <v>202</v>
      </c>
      <c r="C81" s="60" t="str">
        <f>IFERROR(VLOOKUP(B81,'Rekap Stock Barang'!$A$7:$G$153,2,0),"")</f>
        <v xml:space="preserve">Zoda Water </v>
      </c>
      <c r="D81" s="70">
        <v>0</v>
      </c>
      <c r="E81" s="26"/>
    </row>
    <row r="82" spans="1:5" ht="17.25" thickBot="1" x14ac:dyDescent="0.25">
      <c r="A82" s="61"/>
      <c r="B82" s="62" t="s">
        <v>223</v>
      </c>
      <c r="C82" s="63" t="str">
        <f>IFERROR(VLOOKUP(B82,'Rekap Stock Barang'!$A$7:$G$153,2,0),"")</f>
        <v>Sirsak Juice</v>
      </c>
      <c r="D82" s="62">
        <v>0</v>
      </c>
      <c r="E82" s="26"/>
    </row>
    <row r="83" spans="1:5" ht="16.5" x14ac:dyDescent="0.2">
      <c r="A83" s="21">
        <v>46268</v>
      </c>
      <c r="B83" s="22" t="s">
        <v>127</v>
      </c>
      <c r="C83" s="40" t="str">
        <f>IFERROR(VLOOKUP(B83,'Rekap Stock Barang'!$A$7:$G$153,2,0),"")</f>
        <v>Vanilli</v>
      </c>
      <c r="D83" s="22">
        <v>1</v>
      </c>
      <c r="E83" s="26"/>
    </row>
    <row r="84" spans="1:5" ht="16.5" x14ac:dyDescent="0.2">
      <c r="A84" s="22"/>
      <c r="B84" s="22" t="s">
        <v>233</v>
      </c>
      <c r="C84" s="40" t="str">
        <f>IFERROR(VLOOKUP(B84,'Rekap Stock Barang'!$A$7:$G$153,2,0),"")</f>
        <v>Roti Angsle</v>
      </c>
      <c r="D84" s="22">
        <v>1</v>
      </c>
      <c r="E84" s="26"/>
    </row>
    <row r="85" spans="1:5" ht="16.5" x14ac:dyDescent="0.2">
      <c r="A85" s="22"/>
      <c r="B85" s="22" t="s">
        <v>234</v>
      </c>
      <c r="C85" s="40" t="str">
        <f>IFERROR(VLOOKUP(B85,'Rekap Stock Barang'!$A$7:$G$153,2,0),"")</f>
        <v>Roti Bakar</v>
      </c>
      <c r="D85" s="22">
        <v>1</v>
      </c>
      <c r="E85" s="26"/>
    </row>
    <row r="86" spans="1:5" ht="16.5" x14ac:dyDescent="0.2">
      <c r="A86" s="22"/>
      <c r="B86" s="22" t="s">
        <v>213</v>
      </c>
      <c r="C86" s="40" t="str">
        <f>IFERROR(VLOOKUP(B86,'Rekap Stock Barang'!$A$7:$G$153,2,0),"")</f>
        <v xml:space="preserve">Nurtijel Plain </v>
      </c>
      <c r="D86" s="22">
        <v>1</v>
      </c>
      <c r="E86" s="26"/>
    </row>
    <row r="87" spans="1:5" ht="16.5" x14ac:dyDescent="0.2">
      <c r="A87" s="22"/>
      <c r="B87" s="22" t="s">
        <v>204</v>
      </c>
      <c r="C87" s="40" t="str">
        <f>IFERROR(VLOOKUP(B87,'Rekap Stock Barang'!$A$7:$G$153,2,0),"")</f>
        <v xml:space="preserve">Gula </v>
      </c>
      <c r="D87" s="22">
        <v>1</v>
      </c>
      <c r="E87" s="26"/>
    </row>
    <row r="88" spans="1:5" ht="16.5" x14ac:dyDescent="0.2">
      <c r="A88" s="22"/>
      <c r="B88" s="22" t="s">
        <v>211</v>
      </c>
      <c r="C88" s="40" t="str">
        <f>IFERROR(VLOOKUP(B88,'Rekap Stock Barang'!$A$7:$G$153,2,0),"")</f>
        <v xml:space="preserve">Pewarna Hijau </v>
      </c>
      <c r="D88" s="22">
        <v>1</v>
      </c>
      <c r="E88" s="26"/>
    </row>
    <row r="89" spans="1:5" ht="16.5" x14ac:dyDescent="0.2">
      <c r="A89" s="22"/>
      <c r="B89" s="22" t="s">
        <v>187</v>
      </c>
      <c r="C89" s="40" t="str">
        <f>IFERROR(VLOOKUP(B89,'Rekap Stock Barang'!$A$7:$G$153,2,0),"")</f>
        <v xml:space="preserve">Tepung Tapioka </v>
      </c>
      <c r="D89" s="22">
        <v>5</v>
      </c>
      <c r="E89" s="26"/>
    </row>
    <row r="90" spans="1:5" ht="16.5" x14ac:dyDescent="0.2">
      <c r="A90" s="22"/>
      <c r="B90" s="22" t="s">
        <v>174</v>
      </c>
      <c r="C90" s="40" t="str">
        <f>IFERROR(VLOOKUP(B90,'Rekap Stock Barang'!$A$7:$G$153,2,0),"")</f>
        <v>Terasi</v>
      </c>
      <c r="D90" s="22">
        <v>8</v>
      </c>
      <c r="E90" s="26"/>
    </row>
    <row r="91" spans="1:5" ht="16.5" x14ac:dyDescent="0.2">
      <c r="A91" s="22"/>
      <c r="B91" s="22" t="s">
        <v>164</v>
      </c>
      <c r="C91" s="40" t="str">
        <f>IFERROR(VLOOKUP(B91,'Rekap Stock Barang'!$A$7:$G$153,2,0),"")</f>
        <v xml:space="preserve">Ekonomi </v>
      </c>
      <c r="D91" s="22">
        <v>4</v>
      </c>
      <c r="E91" s="26"/>
    </row>
    <row r="92" spans="1:5" ht="16.5" x14ac:dyDescent="0.2">
      <c r="A92" s="22"/>
      <c r="B92" s="22" t="s">
        <v>184</v>
      </c>
      <c r="C92" s="40" t="str">
        <f>IFERROR(VLOOKUP(B92,'Rekap Stock Barang'!$A$7:$G$153,2,0),"")</f>
        <v xml:space="preserve">Tepung Maizena </v>
      </c>
      <c r="D92" s="22">
        <v>6</v>
      </c>
      <c r="E92" s="26"/>
    </row>
    <row r="93" spans="1:5" ht="16.5" x14ac:dyDescent="0.2">
      <c r="A93" s="22"/>
      <c r="B93" s="22" t="s">
        <v>266</v>
      </c>
      <c r="C93" s="40" t="str">
        <f>IFERROR(VLOOKUP(B93,'Rekap Stock Barang'!$A$7:$G$153,2,0),"")</f>
        <v>Tepung Terigu</v>
      </c>
      <c r="D93" s="22">
        <v>7</v>
      </c>
      <c r="E93" s="26"/>
    </row>
    <row r="94" spans="1:5" ht="16.5" x14ac:dyDescent="0.2">
      <c r="A94" s="22"/>
      <c r="B94" s="22" t="s">
        <v>188</v>
      </c>
      <c r="C94" s="40" t="str">
        <f>IFERROR(VLOOKUP(B94,'Rekap Stock Barang'!$A$7:$G$153,2,0),"")</f>
        <v xml:space="preserve">Mie Urai </v>
      </c>
      <c r="D94" s="22">
        <v>2</v>
      </c>
      <c r="E94" s="26"/>
    </row>
    <row r="95" spans="1:5" ht="16.5" x14ac:dyDescent="0.2">
      <c r="A95" s="22"/>
      <c r="B95" s="22" t="s">
        <v>34</v>
      </c>
      <c r="C95" s="40" t="str">
        <f>IFERROR(VLOOKUP(B95,'Rekap Stock Barang'!$A$7:$G$153,2,0),"")</f>
        <v xml:space="preserve">Bumbu Lidah </v>
      </c>
      <c r="D95" s="22">
        <v>1</v>
      </c>
      <c r="E95" s="26"/>
    </row>
    <row r="96" spans="1:5" ht="16.5" x14ac:dyDescent="0.2">
      <c r="A96" s="22"/>
      <c r="B96" s="22" t="s">
        <v>273</v>
      </c>
      <c r="C96" s="40" t="str">
        <f>IFERROR(VLOOKUP(B96,'Rekap Stock Barang'!$A$7:$G$153,2,0),"")</f>
        <v>Sambal Bawang</v>
      </c>
      <c r="D96" s="22">
        <v>1</v>
      </c>
      <c r="E96" s="26"/>
    </row>
    <row r="97" spans="1:5" ht="16.5" x14ac:dyDescent="0.2">
      <c r="A97" s="22"/>
      <c r="B97" s="22" t="s">
        <v>291</v>
      </c>
      <c r="C97" s="40" t="str">
        <f>IFERROR(VLOOKUP(B97,'Rekap Stock Barang'!$A$7:$G$153,2,0),"")</f>
        <v>Kunci Mas</v>
      </c>
      <c r="D97" s="22">
        <v>1</v>
      </c>
      <c r="E97" s="26"/>
    </row>
    <row r="98" spans="1:5" ht="16.5" x14ac:dyDescent="0.2">
      <c r="A98" s="21"/>
      <c r="B98" s="22" t="s">
        <v>292</v>
      </c>
      <c r="C98" s="40" t="str">
        <f>IFERROR(VLOOKUP(B98,'Rekap Stock Barang'!$A$7:$G$153,2,0),"")</f>
        <v>Sambal Kuning</v>
      </c>
      <c r="D98" s="22">
        <v>1</v>
      </c>
      <c r="E98" s="26"/>
    </row>
    <row r="99" spans="1:5" ht="16.5" x14ac:dyDescent="0.2">
      <c r="A99" s="21"/>
      <c r="B99" s="22" t="s">
        <v>270</v>
      </c>
      <c r="C99" s="40" t="str">
        <f>IFERROR(VLOOKUP(B99,'Rekap Stock Barang'!$A$7:$G$153,2,0),"")</f>
        <v>Tissue Toilet</v>
      </c>
      <c r="D99" s="22">
        <v>2</v>
      </c>
      <c r="E99" s="26"/>
    </row>
    <row r="100" spans="1:5" ht="16.5" x14ac:dyDescent="0.2">
      <c r="A100" s="21"/>
      <c r="B100" s="22" t="s">
        <v>189</v>
      </c>
      <c r="C100" s="40" t="str">
        <f>IFERROR(VLOOKUP(B100,'Rekap Stock Barang'!$A$7:$G$153,2,0),"")</f>
        <v xml:space="preserve">Susu Evaporasi </v>
      </c>
      <c r="D100" s="22">
        <v>1</v>
      </c>
      <c r="E100" s="26"/>
    </row>
    <row r="101" spans="1:5" ht="16.5" x14ac:dyDescent="0.2">
      <c r="A101" s="21"/>
      <c r="B101" s="22" t="s">
        <v>293</v>
      </c>
      <c r="C101" s="40" t="str">
        <f>IFERROR(VLOOKUP(B101,'Rekap Stock Barang'!$A$7:$G$153,2,0),"")</f>
        <v>Susu Kental Manis Carnation</v>
      </c>
      <c r="D101" s="22">
        <v>1</v>
      </c>
      <c r="E101" s="26"/>
    </row>
    <row r="102" spans="1:5" ht="16.5" x14ac:dyDescent="0.2">
      <c r="A102" s="21"/>
      <c r="B102" s="22" t="s">
        <v>193</v>
      </c>
      <c r="C102" s="40" t="str">
        <f>IFERROR(VLOOKUP(B102,'Rekap Stock Barang'!$A$7:$G$153,2,0),"")</f>
        <v xml:space="preserve">Oatside Milk </v>
      </c>
      <c r="D102" s="22">
        <v>1</v>
      </c>
      <c r="E102" s="26"/>
    </row>
    <row r="103" spans="1:5" ht="16.5" x14ac:dyDescent="0.2">
      <c r="A103" s="21"/>
      <c r="B103" s="22" t="s">
        <v>197</v>
      </c>
      <c r="C103" s="40" t="str">
        <f>IFERROR(VLOOKUP(B103,'Rekap Stock Barang'!$A$7:$G$153,2,0),"")</f>
        <v xml:space="preserve">Dripp Pandan </v>
      </c>
      <c r="D103" s="22">
        <v>1</v>
      </c>
      <c r="E103" s="26"/>
    </row>
    <row r="104" spans="1:5" ht="16.5" x14ac:dyDescent="0.2">
      <c r="A104" s="8"/>
      <c r="B104" s="53" t="s">
        <v>130</v>
      </c>
      <c r="C104" s="54" t="str">
        <f>IFERROR(VLOOKUP(B104,'Rekap Stock Barang'!$A$7:$G$153,2,0),"")</f>
        <v>Plastik Sampah S</v>
      </c>
      <c r="D104" s="53">
        <v>4</v>
      </c>
      <c r="E104" s="26"/>
    </row>
    <row r="105" spans="1:5" ht="16.5" x14ac:dyDescent="0.2">
      <c r="A105" s="8"/>
      <c r="B105" s="53" t="s">
        <v>131</v>
      </c>
      <c r="C105" s="54" t="str">
        <f>IFERROR(VLOOKUP(B105,'Rekap Stock Barang'!$A$7:$G$153,2,0),"")</f>
        <v>Plastik Sampah M</v>
      </c>
      <c r="D105" s="53">
        <v>2</v>
      </c>
      <c r="E105" s="26"/>
    </row>
    <row r="106" spans="1:5" ht="16.5" x14ac:dyDescent="0.2">
      <c r="A106" s="8"/>
      <c r="B106" s="53" t="s">
        <v>132</v>
      </c>
      <c r="C106" s="54" t="str">
        <f>IFERROR(VLOOKUP(B106,'Rekap Stock Barang'!$A$7:$G$153,2,0),"")</f>
        <v>Plastik Sampah L</v>
      </c>
      <c r="D106" s="53">
        <v>2</v>
      </c>
      <c r="E106" s="26"/>
    </row>
    <row r="107" spans="1:5" ht="16.5" x14ac:dyDescent="0.2">
      <c r="A107" s="8"/>
      <c r="B107" s="53" t="s">
        <v>274</v>
      </c>
      <c r="C107" s="54" t="str">
        <f>IFERROR(VLOOKUP(B107,'Rekap Stock Barang'!$A$7:$G$153,2,0),"")</f>
        <v>Plastik Sampah XL</v>
      </c>
      <c r="D107" s="53">
        <v>2</v>
      </c>
      <c r="E107" s="26"/>
    </row>
    <row r="108" spans="1:5" ht="16.5" x14ac:dyDescent="0.2">
      <c r="A108" s="22"/>
      <c r="B108" s="55" t="s">
        <v>236</v>
      </c>
      <c r="C108" s="56" t="str">
        <f>IFERROR(VLOOKUP(B108,'Rekap Stock Barang'!$A$7:$G$153,2,0),"")</f>
        <v xml:space="preserve">Paha Gurih Manis </v>
      </c>
      <c r="D108" s="55">
        <v>4</v>
      </c>
      <c r="E108" s="26"/>
    </row>
    <row r="109" spans="1:5" ht="16.5" x14ac:dyDescent="0.2">
      <c r="A109" s="22"/>
      <c r="B109" s="55" t="s">
        <v>241</v>
      </c>
      <c r="C109" s="56" t="str">
        <f>IFERROR(VLOOKUP(B109,'Rekap Stock Barang'!$A$7:$G$153,2,0),"")</f>
        <v>Dada Gurih Manis</v>
      </c>
      <c r="D109" s="55">
        <v>4</v>
      </c>
      <c r="E109" s="26"/>
    </row>
    <row r="110" spans="1:5" ht="16.5" x14ac:dyDescent="0.2">
      <c r="A110" s="22"/>
      <c r="B110" s="55" t="s">
        <v>16</v>
      </c>
      <c r="C110" s="56" t="str">
        <f>IFERROR(VLOOKUP(B110,'Rekap Stock Barang'!$A$7:$G$153,2,0),"")</f>
        <v>Paha</v>
      </c>
      <c r="D110" s="55">
        <v>11</v>
      </c>
      <c r="E110" s="26"/>
    </row>
    <row r="111" spans="1:5" ht="16.5" x14ac:dyDescent="0.2">
      <c r="A111" s="22"/>
      <c r="B111" s="55" t="s">
        <v>19</v>
      </c>
      <c r="C111" s="56" t="str">
        <f>IFERROR(VLOOKUP(B111,'Rekap Stock Barang'!$A$7:$G$153,2,0),"")</f>
        <v>Dada</v>
      </c>
      <c r="D111" s="55">
        <v>3</v>
      </c>
      <c r="E111" s="26"/>
    </row>
    <row r="112" spans="1:5" ht="16.5" x14ac:dyDescent="0.2">
      <c r="A112" s="22"/>
      <c r="B112" s="55" t="s">
        <v>8</v>
      </c>
      <c r="C112" s="56" t="str">
        <f>IFERROR(VLOOKUP(B112,'Rekap Stock Barang'!$A$7:$G$153,2,0),"")</f>
        <v xml:space="preserve">Ayam Suwir </v>
      </c>
      <c r="D112" s="55">
        <v>15</v>
      </c>
      <c r="E112" s="26"/>
    </row>
    <row r="113" spans="1:5" ht="16.5" x14ac:dyDescent="0.2">
      <c r="A113" s="22"/>
      <c r="B113" s="55" t="s">
        <v>9</v>
      </c>
      <c r="C113" s="56" t="str">
        <f>IFERROR(VLOOKUP(B113,'Rekap Stock Barang'!$A$7:$G$153,2,0),"")</f>
        <v xml:space="preserve">Topping Kwetiau </v>
      </c>
      <c r="D113" s="55">
        <v>12</v>
      </c>
      <c r="E113" s="26"/>
    </row>
    <row r="114" spans="1:5" ht="16.5" x14ac:dyDescent="0.2">
      <c r="A114" s="22"/>
      <c r="B114" s="55" t="s">
        <v>243</v>
      </c>
      <c r="C114" s="56" t="str">
        <f>IFERROR(VLOOKUP(B114,'Rekap Stock Barang'!$A$7:$G$153,2,0),"")</f>
        <v xml:space="preserve">Daging Slice </v>
      </c>
      <c r="D114" s="55">
        <v>4</v>
      </c>
      <c r="E114" s="26"/>
    </row>
    <row r="115" spans="1:5" ht="16.5" x14ac:dyDescent="0.2">
      <c r="A115" s="22"/>
      <c r="B115" s="55" t="s">
        <v>14</v>
      </c>
      <c r="C115" s="56" t="str">
        <f>IFERROR(VLOOKUP(B115,'Rekap Stock Barang'!$A$7:$G$153,2,0),"")</f>
        <v>Ayam Jamur</v>
      </c>
      <c r="D115" s="55">
        <v>6</v>
      </c>
      <c r="E115" s="26"/>
    </row>
    <row r="116" spans="1:5" ht="16.5" x14ac:dyDescent="0.2">
      <c r="A116" s="22"/>
      <c r="B116" s="55" t="s">
        <v>20</v>
      </c>
      <c r="C116" s="56" t="str">
        <f>IFERROR(VLOOKUP(B116,'Rekap Stock Barang'!$A$7:$G$153,2,0),"")</f>
        <v>Cumi</v>
      </c>
      <c r="D116" s="55">
        <v>11</v>
      </c>
      <c r="E116" s="26"/>
    </row>
    <row r="117" spans="1:5" ht="16.5" x14ac:dyDescent="0.2">
      <c r="A117" s="22"/>
      <c r="B117" s="55" t="s">
        <v>38</v>
      </c>
      <c r="C117" s="56" t="str">
        <f>IFERROR(VLOOKUP(B117,'Rekap Stock Barang'!$A$7:$G$153,2,0),"")</f>
        <v>Daging Sambal HIjau</v>
      </c>
      <c r="D117" s="55">
        <v>12</v>
      </c>
      <c r="E117" s="26"/>
    </row>
    <row r="118" spans="1:5" ht="16.5" x14ac:dyDescent="0.2">
      <c r="A118" s="22"/>
      <c r="B118" s="55" t="s">
        <v>22</v>
      </c>
      <c r="C118" s="56" t="str">
        <f>IFERROR(VLOOKUP(B118,'Rekap Stock Barang'!$A$7:$G$153,2,0),"")</f>
        <v>Kulit</v>
      </c>
      <c r="D118" s="55">
        <v>4</v>
      </c>
      <c r="E118" s="26"/>
    </row>
    <row r="119" spans="1:5" ht="16.5" x14ac:dyDescent="0.2">
      <c r="A119" s="22"/>
      <c r="B119" s="55" t="s">
        <v>28</v>
      </c>
      <c r="C119" s="56" t="str">
        <f>IFERROR(VLOOKUP(B119,'Rekap Stock Barang'!$A$7:$G$153,2,0),"")</f>
        <v xml:space="preserve">Topping Nasi Gila </v>
      </c>
      <c r="D119" s="55">
        <v>2</v>
      </c>
      <c r="E119" s="26"/>
    </row>
    <row r="120" spans="1:5" ht="16.5" x14ac:dyDescent="0.2">
      <c r="A120" s="22"/>
      <c r="B120" s="55" t="s">
        <v>24</v>
      </c>
      <c r="C120" s="56" t="str">
        <f>IFERROR(VLOOKUP(B120,'Rekap Stock Barang'!$A$7:$G$153,2,0),"")</f>
        <v xml:space="preserve">Lidah </v>
      </c>
      <c r="D120" s="55">
        <v>12</v>
      </c>
      <c r="E120" s="26"/>
    </row>
    <row r="121" spans="1:5" ht="16.5" x14ac:dyDescent="0.2">
      <c r="A121" s="22"/>
      <c r="B121" s="55" t="s">
        <v>275</v>
      </c>
      <c r="C121" s="56" t="str">
        <f>IFERROR(VLOOKUP(B121,'Rekap Stock Barang'!$A$7:$G$153,2,0),"")</f>
        <v xml:space="preserve">Teri Pete </v>
      </c>
      <c r="D121" s="55">
        <v>1</v>
      </c>
      <c r="E121" s="26"/>
    </row>
    <row r="122" spans="1:5" ht="16.5" x14ac:dyDescent="0.2">
      <c r="A122" s="22"/>
      <c r="B122" s="55" t="s">
        <v>10</v>
      </c>
      <c r="C122" s="56" t="str">
        <f>IFERROR(VLOOKUP(B122,'Rekap Stock Barang'!$A$7:$G$153,2,0),"")</f>
        <v>Topping Mbakmoy</v>
      </c>
      <c r="D122" s="55">
        <v>3</v>
      </c>
      <c r="E122" s="26"/>
    </row>
    <row r="123" spans="1:5" ht="16.5" x14ac:dyDescent="0.2">
      <c r="A123" s="22"/>
      <c r="B123" s="55" t="s">
        <v>276</v>
      </c>
      <c r="C123" s="56" t="str">
        <f>IFERROR(VLOOKUP(B123,'Rekap Stock Barang'!$A$7:$G$153,2,0),"")</f>
        <v>Sambal Baby Cumi</v>
      </c>
      <c r="D123" s="55">
        <v>11</v>
      </c>
      <c r="E123" s="26"/>
    </row>
    <row r="124" spans="1:5" ht="16.5" x14ac:dyDescent="0.2">
      <c r="A124" s="22"/>
      <c r="B124" s="57" t="s">
        <v>31</v>
      </c>
      <c r="C124" s="58" t="str">
        <f>IFERROR(VLOOKUP(B124,'Rekap Stock Barang'!$A$7:$G$153,2,0),"")</f>
        <v>Bagor</v>
      </c>
      <c r="D124" s="57">
        <v>7</v>
      </c>
      <c r="E124" s="26"/>
    </row>
    <row r="125" spans="1:5" ht="16.5" x14ac:dyDescent="0.2">
      <c r="A125" s="22"/>
      <c r="B125" s="57" t="s">
        <v>178</v>
      </c>
      <c r="C125" s="58" t="str">
        <f>IFERROR(VLOOKUP(B125,'Rekap Stock Barang'!$A$7:$G$153,2,0),"")</f>
        <v xml:space="preserve">Cireng </v>
      </c>
      <c r="D125" s="57">
        <v>3</v>
      </c>
      <c r="E125" s="26"/>
    </row>
    <row r="126" spans="1:5" ht="16.5" x14ac:dyDescent="0.2">
      <c r="A126" s="22"/>
      <c r="B126" s="57" t="s">
        <v>238</v>
      </c>
      <c r="C126" s="58" t="str">
        <f>IFERROR(VLOOKUP(B126,'Rekap Stock Barang'!$A$7:$G$153,2,0),"")</f>
        <v>Sayap Goreng</v>
      </c>
      <c r="D126" s="57">
        <v>5</v>
      </c>
      <c r="E126" s="26"/>
    </row>
    <row r="127" spans="1:5" ht="16.5" x14ac:dyDescent="0.2">
      <c r="A127" s="22"/>
      <c r="B127" s="59" t="s">
        <v>175</v>
      </c>
      <c r="C127" s="60" t="str">
        <f>IFERROR(VLOOKUP(B127,'Rekap Stock Barang'!$A$7:$G$153,2,0),"")</f>
        <v>Mineral</v>
      </c>
      <c r="D127" s="59">
        <v>34</v>
      </c>
      <c r="E127" s="26"/>
    </row>
    <row r="128" spans="1:5" ht="16.5" x14ac:dyDescent="0.2">
      <c r="A128" s="22"/>
      <c r="B128" s="59" t="s">
        <v>170</v>
      </c>
      <c r="C128" s="60" t="str">
        <f>IFERROR(VLOOKUP(B128,'Rekap Stock Barang'!$A$7:$G$153,2,0),"")</f>
        <v>Air Tahu</v>
      </c>
      <c r="D128" s="59">
        <v>4</v>
      </c>
      <c r="E128" s="26"/>
    </row>
    <row r="129" spans="1:5" ht="16.5" x14ac:dyDescent="0.2">
      <c r="A129" s="22"/>
      <c r="B129" s="59" t="s">
        <v>229</v>
      </c>
      <c r="C129" s="60" t="str">
        <f>IFERROR(VLOOKUP(B129,'Rekap Stock Barang'!$A$7:$G$153,2,0),"")</f>
        <v xml:space="preserve">Manggo Juice </v>
      </c>
      <c r="D129" s="59">
        <v>1</v>
      </c>
      <c r="E129" s="26"/>
    </row>
    <row r="130" spans="1:5" ht="16.5" x14ac:dyDescent="0.2">
      <c r="A130" s="22"/>
      <c r="B130" s="59" t="s">
        <v>226</v>
      </c>
      <c r="C130" s="60" t="str">
        <f>IFERROR(VLOOKUP(B130,'Rekap Stock Barang'!$A$7:$G$153,2,0),"")</f>
        <v>Mix Berries</v>
      </c>
      <c r="D130" s="59">
        <v>1</v>
      </c>
      <c r="E130" s="26"/>
    </row>
    <row r="131" spans="1:5" ht="16.5" x14ac:dyDescent="0.2">
      <c r="A131" s="69"/>
      <c r="B131" s="70" t="s">
        <v>202</v>
      </c>
      <c r="C131" s="60" t="str">
        <f>IFERROR(VLOOKUP(B131,'Rekap Stock Barang'!$A$7:$G$153,2,0),"")</f>
        <v xml:space="preserve">Zoda Water </v>
      </c>
      <c r="D131" s="70">
        <v>0</v>
      </c>
      <c r="E131" s="26"/>
    </row>
    <row r="132" spans="1:5" ht="17.25" thickBot="1" x14ac:dyDescent="0.25">
      <c r="A132" s="61"/>
      <c r="B132" s="62" t="s">
        <v>223</v>
      </c>
      <c r="C132" s="63" t="str">
        <f>IFERROR(VLOOKUP(B132,'Rekap Stock Barang'!$A$7:$G$153,2,0),"")</f>
        <v>Sirsak Juice</v>
      </c>
      <c r="D132" s="62">
        <v>0</v>
      </c>
      <c r="E132" s="26"/>
    </row>
    <row r="133" spans="1:5" ht="16.5" x14ac:dyDescent="0.2">
      <c r="A133" s="21">
        <v>46269</v>
      </c>
      <c r="B133" s="22" t="s">
        <v>294</v>
      </c>
      <c r="C133" s="40" t="str">
        <f>IFERROR(VLOOKUP(B133,'Rekap Stock Barang'!$A$7:$G$153,2,0),"")</f>
        <v>Gorengan Mbakmoy</v>
      </c>
      <c r="D133" s="22">
        <v>1</v>
      </c>
      <c r="E133" s="26"/>
    </row>
    <row r="134" spans="1:5" ht="16.5" x14ac:dyDescent="0.2">
      <c r="A134" s="22"/>
      <c r="B134" s="22" t="s">
        <v>195</v>
      </c>
      <c r="C134" s="40" t="str">
        <f>IFERROR(VLOOKUP(B134,'Rekap Stock Barang'!$A$7:$G$153,2,0),"")</f>
        <v xml:space="preserve">Keju </v>
      </c>
      <c r="D134" s="22">
        <v>1</v>
      </c>
      <c r="E134" s="26"/>
    </row>
    <row r="135" spans="1:5" ht="16.5" x14ac:dyDescent="0.2">
      <c r="A135" s="22"/>
      <c r="B135" s="22" t="s">
        <v>295</v>
      </c>
      <c r="C135" s="40" t="str">
        <f>IFERROR(VLOOKUP(B135,'Rekap Stock Barang'!$A$7:$G$153,2,0),"")</f>
        <v>Thermal Paper</v>
      </c>
      <c r="D135" s="22">
        <v>1</v>
      </c>
      <c r="E135" s="26"/>
    </row>
    <row r="136" spans="1:5" ht="16.5" x14ac:dyDescent="0.2">
      <c r="A136" s="22"/>
      <c r="B136" s="22" t="s">
        <v>283</v>
      </c>
      <c r="C136" s="40" t="str">
        <f>IFERROR(VLOOKUP(B136,'Rekap Stock Barang'!$A$7:$G$153,2,0),"")</f>
        <v>Sambal Petis</v>
      </c>
      <c r="D136" s="22">
        <v>1</v>
      </c>
      <c r="E136" s="26"/>
    </row>
    <row r="137" spans="1:5" ht="16.5" x14ac:dyDescent="0.2">
      <c r="A137" s="22"/>
      <c r="B137" s="22" t="s">
        <v>282</v>
      </c>
      <c r="C137" s="40" t="str">
        <f>IFERROR(VLOOKUP(B137,'Rekap Stock Barang'!$A$7:$G$153,2,0),"")</f>
        <v>Bumbu Kwetiau</v>
      </c>
      <c r="D137" s="22">
        <v>1</v>
      </c>
      <c r="E137" s="26"/>
    </row>
    <row r="138" spans="1:5" ht="16.5" x14ac:dyDescent="0.2">
      <c r="A138" s="22"/>
      <c r="B138" s="22" t="s">
        <v>52</v>
      </c>
      <c r="C138" s="40" t="str">
        <f>IFERROR(VLOOKUP(B138,'Rekap Stock Barang'!$A$7:$G$153,2,0),"")</f>
        <v>Bumbu Mie Goreng Jawa</v>
      </c>
      <c r="D138" s="22">
        <v>1</v>
      </c>
      <c r="E138" s="26"/>
    </row>
    <row r="139" spans="1:5" ht="16.5" x14ac:dyDescent="0.2">
      <c r="A139" s="22"/>
      <c r="B139" s="22" t="s">
        <v>119</v>
      </c>
      <c r="C139" s="40" t="str">
        <f>IFERROR(VLOOKUP(B139,'Rekap Stock Barang'!$A$7:$G$153,2,0),"")</f>
        <v>Tepung Telur</v>
      </c>
      <c r="D139" s="22">
        <v>4</v>
      </c>
      <c r="E139" s="26"/>
    </row>
    <row r="140" spans="1:5" ht="16.5" x14ac:dyDescent="0.2">
      <c r="A140" s="22"/>
      <c r="B140" s="22" t="s">
        <v>48</v>
      </c>
      <c r="C140" s="40" t="str">
        <f>IFERROR(VLOOKUP(B140,'Rekap Stock Barang'!$A$7:$G$153,2,0),"")</f>
        <v xml:space="preserve">Bumbu Nasi Gila </v>
      </c>
      <c r="D140" s="22">
        <v>1</v>
      </c>
      <c r="E140" s="26"/>
    </row>
    <row r="141" spans="1:5" ht="16.5" x14ac:dyDescent="0.2">
      <c r="A141" s="22"/>
      <c r="B141" s="22" t="s">
        <v>44</v>
      </c>
      <c r="C141" s="40" t="str">
        <f>IFERROR(VLOOKUP(B141,'Rekap Stock Barang'!$A$7:$G$153,2,0),"")</f>
        <v>Sambal Terong</v>
      </c>
      <c r="D141" s="22">
        <v>1</v>
      </c>
      <c r="E141" s="26"/>
    </row>
    <row r="142" spans="1:5" ht="16.5" x14ac:dyDescent="0.2">
      <c r="A142" s="22"/>
      <c r="B142" s="22" t="s">
        <v>290</v>
      </c>
      <c r="C142" s="40" t="str">
        <f>IFERROR(VLOOKUP(B142,'Rekap Stock Barang'!$A$7:$G$153,2,0),"")</f>
        <v>Bumbu Serundeng</v>
      </c>
      <c r="D142" s="22">
        <v>1</v>
      </c>
      <c r="E142" s="26"/>
    </row>
    <row r="143" spans="1:5" ht="16.5" x14ac:dyDescent="0.2">
      <c r="A143" s="22"/>
      <c r="B143" s="22" t="s">
        <v>261</v>
      </c>
      <c r="C143" s="40" t="str">
        <f>IFERROR(VLOOKUP(B143,'Rekap Stock Barang'!$A$7:$G$153,2,0),"")</f>
        <v>Sambal Kuning</v>
      </c>
      <c r="D143" s="22">
        <v>1</v>
      </c>
      <c r="E143" s="26"/>
    </row>
    <row r="144" spans="1:5" ht="16.5" x14ac:dyDescent="0.2">
      <c r="A144" s="22"/>
      <c r="B144" s="22" t="s">
        <v>270</v>
      </c>
      <c r="C144" s="40" t="str">
        <f>IFERROR(VLOOKUP(B144,'Rekap Stock Barang'!$A$7:$G$153,2,0),"")</f>
        <v>Tissue Toilet</v>
      </c>
      <c r="D144" s="22">
        <v>1</v>
      </c>
      <c r="E144" s="26"/>
    </row>
    <row r="145" spans="1:5" ht="16.5" x14ac:dyDescent="0.2">
      <c r="A145" s="22"/>
      <c r="B145" s="22" t="s">
        <v>148</v>
      </c>
      <c r="C145" s="40" t="str">
        <f>IFERROR(VLOOKUP(B145,'Rekap Stock Barang'!$A$7:$G$153,2,0),"")</f>
        <v>Tissue Meja</v>
      </c>
      <c r="D145" s="22">
        <v>1</v>
      </c>
      <c r="E145" s="26"/>
    </row>
    <row r="146" spans="1:5" ht="16.5" x14ac:dyDescent="0.2">
      <c r="A146" s="22"/>
      <c r="B146" s="22" t="s">
        <v>164</v>
      </c>
      <c r="C146" s="40" t="str">
        <f>IFERROR(VLOOKUP(B146,'Rekap Stock Barang'!$A$7:$G$153,2,0),"")</f>
        <v xml:space="preserve">Ekonomi </v>
      </c>
      <c r="D146" s="22">
        <v>3</v>
      </c>
      <c r="E146" s="26"/>
    </row>
    <row r="147" spans="1:5" ht="16.5" x14ac:dyDescent="0.2">
      <c r="A147" s="22"/>
      <c r="B147" s="22" t="s">
        <v>189</v>
      </c>
      <c r="C147" s="40" t="str">
        <f>IFERROR(VLOOKUP(B147,'Rekap Stock Barang'!$A$7:$G$153,2,0),"")</f>
        <v xml:space="preserve">Susu Evaporasi </v>
      </c>
      <c r="D147" s="22">
        <v>1</v>
      </c>
      <c r="E147" s="26"/>
    </row>
    <row r="148" spans="1:5" ht="16.5" x14ac:dyDescent="0.2">
      <c r="A148" s="22"/>
      <c r="B148" s="22" t="s">
        <v>293</v>
      </c>
      <c r="C148" s="40" t="str">
        <f>IFERROR(VLOOKUP(B148,'Rekap Stock Barang'!$A$7:$G$153,2,0),"")</f>
        <v>Susu Kental Manis Carnation</v>
      </c>
      <c r="D148" s="22">
        <v>1</v>
      </c>
      <c r="E148" s="26"/>
    </row>
    <row r="149" spans="1:5" ht="16.5" x14ac:dyDescent="0.2">
      <c r="A149" s="22"/>
      <c r="B149" s="22" t="s">
        <v>281</v>
      </c>
      <c r="C149" s="40" t="str">
        <f>IFERROR(VLOOKUP(B149,'Rekap Stock Barang'!$A$7:$G$153,2,0),"")</f>
        <v>Diamond Milk</v>
      </c>
      <c r="D149" s="22">
        <v>1</v>
      </c>
      <c r="E149" s="26"/>
    </row>
    <row r="150" spans="1:5" ht="16.5" x14ac:dyDescent="0.2">
      <c r="A150" s="22"/>
      <c r="B150" s="22" t="s">
        <v>294</v>
      </c>
      <c r="C150" s="40" t="str">
        <f>IFERROR(VLOOKUP(B150,'Rekap Stock Barang'!$A$7:$G$153,2,0),"")</f>
        <v>Gorengan Mbakmoy</v>
      </c>
      <c r="D150" s="22">
        <v>1</v>
      </c>
      <c r="E150" s="26"/>
    </row>
    <row r="151" spans="1:5" ht="16.5" x14ac:dyDescent="0.2">
      <c r="A151" s="21"/>
      <c r="B151" s="22" t="s">
        <v>201</v>
      </c>
      <c r="C151" s="40" t="str">
        <f>IFERROR(VLOOKUP(B151,'Rekap Stock Barang'!$A$7:$G$153,2,0),"")</f>
        <v xml:space="preserve">Soda Polaris </v>
      </c>
      <c r="D151" s="22">
        <v>2</v>
      </c>
      <c r="E151" s="26"/>
    </row>
    <row r="152" spans="1:5" ht="16.5" x14ac:dyDescent="0.2">
      <c r="A152" s="8"/>
      <c r="B152" s="53" t="s">
        <v>130</v>
      </c>
      <c r="C152" s="54" t="str">
        <f>IFERROR(VLOOKUP(B152,'Rekap Stock Barang'!$A$7:$G$153,2,0),"")</f>
        <v>Plastik Sampah S</v>
      </c>
      <c r="D152" s="53">
        <v>3</v>
      </c>
      <c r="E152" s="26"/>
    </row>
    <row r="153" spans="1:5" ht="16.5" x14ac:dyDescent="0.2">
      <c r="A153" s="8"/>
      <c r="B153" s="53" t="s">
        <v>131</v>
      </c>
      <c r="C153" s="54" t="str">
        <f>IFERROR(VLOOKUP(B153,'Rekap Stock Barang'!$A$7:$G$153,2,0),"")</f>
        <v>Plastik Sampah M</v>
      </c>
      <c r="D153" s="53">
        <v>2</v>
      </c>
      <c r="E153" s="26"/>
    </row>
    <row r="154" spans="1:5" ht="16.5" x14ac:dyDescent="0.2">
      <c r="A154" s="8"/>
      <c r="B154" s="53" t="s">
        <v>132</v>
      </c>
      <c r="C154" s="54" t="str">
        <f>IFERROR(VLOOKUP(B154,'Rekap Stock Barang'!$A$7:$G$153,2,0),"")</f>
        <v>Plastik Sampah L</v>
      </c>
      <c r="D154" s="53">
        <v>2</v>
      </c>
      <c r="E154" s="26"/>
    </row>
    <row r="155" spans="1:5" ht="16.5" x14ac:dyDescent="0.2">
      <c r="A155" s="8"/>
      <c r="B155" s="53" t="s">
        <v>274</v>
      </c>
      <c r="C155" s="54" t="str">
        <f>IFERROR(VLOOKUP(B155,'Rekap Stock Barang'!$A$7:$G$153,2,0),"")</f>
        <v>Plastik Sampah XL</v>
      </c>
      <c r="D155" s="53">
        <v>1</v>
      </c>
      <c r="E155" s="26"/>
    </row>
    <row r="156" spans="1:5" ht="16.5" x14ac:dyDescent="0.2">
      <c r="A156" s="22"/>
      <c r="B156" s="55" t="s">
        <v>236</v>
      </c>
      <c r="C156" s="56" t="str">
        <f>IFERROR(VLOOKUP(B156,'Rekap Stock Barang'!$A$7:$G$153,2,0),"")</f>
        <v xml:space="preserve">Paha Gurih Manis </v>
      </c>
      <c r="D156" s="55">
        <v>1</v>
      </c>
      <c r="E156" s="26"/>
    </row>
    <row r="157" spans="1:5" ht="16.5" x14ac:dyDescent="0.2">
      <c r="A157" s="22"/>
      <c r="B157" s="55" t="s">
        <v>241</v>
      </c>
      <c r="C157" s="56" t="str">
        <f>IFERROR(VLOOKUP(B157,'Rekap Stock Barang'!$A$7:$G$153,2,0),"")</f>
        <v>Dada Gurih Manis</v>
      </c>
      <c r="D157" s="55">
        <v>4</v>
      </c>
      <c r="E157" s="26"/>
    </row>
    <row r="158" spans="1:5" ht="16.5" x14ac:dyDescent="0.2">
      <c r="A158" s="22"/>
      <c r="B158" s="55" t="s">
        <v>16</v>
      </c>
      <c r="C158" s="56" t="str">
        <f>IFERROR(VLOOKUP(B158,'Rekap Stock Barang'!$A$7:$G$153,2,0),"")</f>
        <v>Paha</v>
      </c>
      <c r="D158" s="55">
        <v>8</v>
      </c>
      <c r="E158" s="26"/>
    </row>
    <row r="159" spans="1:5" ht="16.5" x14ac:dyDescent="0.2">
      <c r="A159" s="22"/>
      <c r="B159" s="55" t="s">
        <v>19</v>
      </c>
      <c r="C159" s="56" t="str">
        <f>IFERROR(VLOOKUP(B159,'Rekap Stock Barang'!$A$7:$G$153,2,0),"")</f>
        <v>Dada</v>
      </c>
      <c r="D159" s="55">
        <v>0</v>
      </c>
      <c r="E159" s="26"/>
    </row>
    <row r="160" spans="1:5" ht="16.5" x14ac:dyDescent="0.2">
      <c r="A160" s="22"/>
      <c r="B160" s="55" t="s">
        <v>8</v>
      </c>
      <c r="C160" s="56" t="str">
        <f>IFERROR(VLOOKUP(B160,'Rekap Stock Barang'!$A$7:$G$153,2,0),"")</f>
        <v xml:space="preserve">Ayam Suwir </v>
      </c>
      <c r="D160" s="55">
        <v>11</v>
      </c>
      <c r="E160" s="26"/>
    </row>
    <row r="161" spans="1:5" ht="16.5" x14ac:dyDescent="0.2">
      <c r="A161" s="22"/>
      <c r="B161" s="55" t="s">
        <v>9</v>
      </c>
      <c r="C161" s="56" t="str">
        <f>IFERROR(VLOOKUP(B161,'Rekap Stock Barang'!$A$7:$G$153,2,0),"")</f>
        <v xml:space="preserve">Topping Kwetiau </v>
      </c>
      <c r="D161" s="55">
        <v>11</v>
      </c>
      <c r="E161" s="26"/>
    </row>
    <row r="162" spans="1:5" ht="16.5" x14ac:dyDescent="0.2">
      <c r="A162" s="22"/>
      <c r="B162" s="55" t="s">
        <v>243</v>
      </c>
      <c r="C162" s="56" t="str">
        <f>IFERROR(VLOOKUP(B162,'Rekap Stock Barang'!$A$7:$G$153,2,0),"")</f>
        <v xml:space="preserve">Daging Slice </v>
      </c>
      <c r="D162" s="55">
        <v>9</v>
      </c>
      <c r="E162" s="26"/>
    </row>
    <row r="163" spans="1:5" ht="16.5" x14ac:dyDescent="0.2">
      <c r="A163" s="22"/>
      <c r="B163" s="55" t="s">
        <v>14</v>
      </c>
      <c r="C163" s="56" t="str">
        <f>IFERROR(VLOOKUP(B163,'Rekap Stock Barang'!$A$7:$G$153,2,0),"")</f>
        <v>Ayam Jamur</v>
      </c>
      <c r="D163" s="55">
        <v>5</v>
      </c>
      <c r="E163" s="26"/>
    </row>
    <row r="164" spans="1:5" ht="16.5" x14ac:dyDescent="0.2">
      <c r="A164" s="22"/>
      <c r="B164" s="55" t="s">
        <v>20</v>
      </c>
      <c r="C164" s="56" t="str">
        <f>IFERROR(VLOOKUP(B164,'Rekap Stock Barang'!$A$7:$G$153,2,0),"")</f>
        <v>Cumi</v>
      </c>
      <c r="D164" s="55">
        <v>8</v>
      </c>
      <c r="E164" s="26"/>
    </row>
    <row r="165" spans="1:5" ht="16.5" x14ac:dyDescent="0.2">
      <c r="A165" s="22"/>
      <c r="B165" s="55" t="s">
        <v>38</v>
      </c>
      <c r="C165" s="56" t="str">
        <f>IFERROR(VLOOKUP(B165,'Rekap Stock Barang'!$A$7:$G$153,2,0),"")</f>
        <v>Daging Sambal HIjau</v>
      </c>
      <c r="D165" s="55">
        <v>8</v>
      </c>
      <c r="E165" s="26"/>
    </row>
    <row r="166" spans="1:5" ht="16.5" x14ac:dyDescent="0.2">
      <c r="A166" s="22"/>
      <c r="B166" s="55" t="s">
        <v>22</v>
      </c>
      <c r="C166" s="56" t="str">
        <f>IFERROR(VLOOKUP(B166,'Rekap Stock Barang'!$A$7:$G$153,2,0),"")</f>
        <v>Kulit</v>
      </c>
      <c r="D166" s="55">
        <v>6</v>
      </c>
      <c r="E166" s="26"/>
    </row>
    <row r="167" spans="1:5" ht="16.5" x14ac:dyDescent="0.2">
      <c r="A167" s="22"/>
      <c r="B167" s="55" t="s">
        <v>28</v>
      </c>
      <c r="C167" s="56" t="str">
        <f>IFERROR(VLOOKUP(B167,'Rekap Stock Barang'!$A$7:$G$153,2,0),"")</f>
        <v xml:space="preserve">Topping Nasi Gila </v>
      </c>
      <c r="D167" s="55">
        <v>3</v>
      </c>
      <c r="E167" s="26"/>
    </row>
    <row r="168" spans="1:5" ht="16.5" x14ac:dyDescent="0.2">
      <c r="A168" s="22"/>
      <c r="B168" s="55" t="s">
        <v>24</v>
      </c>
      <c r="C168" s="56" t="str">
        <f>IFERROR(VLOOKUP(B168,'Rekap Stock Barang'!$A$7:$G$153,2,0),"")</f>
        <v xml:space="preserve">Lidah </v>
      </c>
      <c r="D168" s="55">
        <v>5</v>
      </c>
      <c r="E168" s="26"/>
    </row>
    <row r="169" spans="1:5" ht="16.5" x14ac:dyDescent="0.2">
      <c r="A169" s="22"/>
      <c r="B169" s="55" t="s">
        <v>275</v>
      </c>
      <c r="C169" s="56" t="str">
        <f>IFERROR(VLOOKUP(B169,'Rekap Stock Barang'!$A$7:$G$153,2,0),"")</f>
        <v xml:space="preserve">Teri Pete </v>
      </c>
      <c r="D169" s="55">
        <v>1</v>
      </c>
      <c r="E169" s="26"/>
    </row>
    <row r="170" spans="1:5" ht="16.5" x14ac:dyDescent="0.2">
      <c r="A170" s="22"/>
      <c r="B170" s="55" t="s">
        <v>10</v>
      </c>
      <c r="C170" s="56" t="str">
        <f>IFERROR(VLOOKUP(B170,'Rekap Stock Barang'!$A$7:$G$153,2,0),"")</f>
        <v>Topping Mbakmoy</v>
      </c>
      <c r="D170" s="55">
        <v>5</v>
      </c>
      <c r="E170" s="26"/>
    </row>
    <row r="171" spans="1:5" ht="16.5" x14ac:dyDescent="0.2">
      <c r="A171" s="22"/>
      <c r="B171" s="55" t="s">
        <v>276</v>
      </c>
      <c r="C171" s="56" t="str">
        <f>IFERROR(VLOOKUP(B171,'Rekap Stock Barang'!$A$7:$G$153,2,0),"")</f>
        <v>Sambal Baby Cumi</v>
      </c>
      <c r="D171" s="55">
        <v>14</v>
      </c>
      <c r="E171" s="26"/>
    </row>
    <row r="172" spans="1:5" ht="16.5" x14ac:dyDescent="0.2">
      <c r="A172" s="22"/>
      <c r="B172" s="57" t="s">
        <v>31</v>
      </c>
      <c r="C172" s="58" t="str">
        <f>IFERROR(VLOOKUP(B172,'Rekap Stock Barang'!$A$7:$G$153,2,0),"")</f>
        <v>Bagor</v>
      </c>
      <c r="D172" s="57">
        <v>12</v>
      </c>
      <c r="E172" s="26"/>
    </row>
    <row r="173" spans="1:5" ht="16.5" x14ac:dyDescent="0.2">
      <c r="A173" s="22"/>
      <c r="B173" s="57" t="s">
        <v>178</v>
      </c>
      <c r="C173" s="58" t="str">
        <f>IFERROR(VLOOKUP(B173,'Rekap Stock Barang'!$A$7:$G$153,2,0),"")</f>
        <v xml:space="preserve">Cireng </v>
      </c>
      <c r="D173" s="57">
        <v>0</v>
      </c>
      <c r="E173" s="26"/>
    </row>
    <row r="174" spans="1:5" ht="16.5" x14ac:dyDescent="0.2">
      <c r="A174" s="22"/>
      <c r="B174" s="57" t="s">
        <v>238</v>
      </c>
      <c r="C174" s="58" t="str">
        <f>IFERROR(VLOOKUP(B174,'Rekap Stock Barang'!$A$7:$G$153,2,0),"")</f>
        <v>Sayap Goreng</v>
      </c>
      <c r="D174" s="57">
        <v>8</v>
      </c>
      <c r="E174" s="26"/>
    </row>
    <row r="175" spans="1:5" ht="16.5" x14ac:dyDescent="0.2">
      <c r="A175" s="22"/>
      <c r="B175" s="59" t="s">
        <v>175</v>
      </c>
      <c r="C175" s="60" t="str">
        <f>IFERROR(VLOOKUP(B175,'Rekap Stock Barang'!$A$7:$G$153,2,0),"")</f>
        <v>Mineral</v>
      </c>
      <c r="D175" s="59">
        <v>35</v>
      </c>
      <c r="E175" s="26"/>
    </row>
    <row r="176" spans="1:5" ht="16.5" x14ac:dyDescent="0.2">
      <c r="A176" s="22"/>
      <c r="B176" s="59" t="s">
        <v>170</v>
      </c>
      <c r="C176" s="60" t="str">
        <f>IFERROR(VLOOKUP(B176,'Rekap Stock Barang'!$A$7:$G$153,2,0),"")</f>
        <v>Air Tahu</v>
      </c>
      <c r="D176" s="59">
        <v>5</v>
      </c>
      <c r="E176" s="26"/>
    </row>
    <row r="177" spans="1:5" ht="16.5" x14ac:dyDescent="0.2">
      <c r="A177" s="22"/>
      <c r="B177" s="59" t="s">
        <v>229</v>
      </c>
      <c r="C177" s="60" t="str">
        <f>IFERROR(VLOOKUP(B177,'Rekap Stock Barang'!$A$7:$G$153,2,0),"")</f>
        <v xml:space="preserve">Manggo Juice </v>
      </c>
      <c r="D177" s="59">
        <v>1</v>
      </c>
      <c r="E177" s="26"/>
    </row>
    <row r="178" spans="1:5" ht="16.5" x14ac:dyDescent="0.2">
      <c r="A178" s="22"/>
      <c r="B178" s="59" t="s">
        <v>226</v>
      </c>
      <c r="C178" s="60" t="str">
        <f>IFERROR(VLOOKUP(B178,'Rekap Stock Barang'!$A$7:$G$153,2,0),"")</f>
        <v>Mix Berries</v>
      </c>
      <c r="D178" s="59">
        <v>3</v>
      </c>
      <c r="E178" s="26"/>
    </row>
    <row r="179" spans="1:5" ht="16.5" x14ac:dyDescent="0.2">
      <c r="A179" s="69"/>
      <c r="B179" s="70" t="s">
        <v>202</v>
      </c>
      <c r="C179" s="60" t="str">
        <f>IFERROR(VLOOKUP(B179,'Rekap Stock Barang'!$A$7:$G$153,2,0),"")</f>
        <v xml:space="preserve">Zoda Water </v>
      </c>
      <c r="D179" s="70">
        <v>0</v>
      </c>
      <c r="E179" s="26"/>
    </row>
    <row r="180" spans="1:5" ht="17.25" thickBot="1" x14ac:dyDescent="0.25">
      <c r="A180" s="61"/>
      <c r="B180" s="62" t="s">
        <v>223</v>
      </c>
      <c r="C180" s="63" t="str">
        <f>IFERROR(VLOOKUP(B180,'Rekap Stock Barang'!$A$7:$G$153,2,0),"")</f>
        <v>Sirsak Juice</v>
      </c>
      <c r="D180" s="62">
        <v>0</v>
      </c>
      <c r="E180" s="26"/>
    </row>
    <row r="181" spans="1:5" ht="16.5" x14ac:dyDescent="0.2">
      <c r="A181" s="21">
        <v>46270</v>
      </c>
      <c r="B181" s="22" t="s">
        <v>292</v>
      </c>
      <c r="C181" s="40" t="str">
        <f>IFERROR(VLOOKUP(B181,'Rekap Stock Barang'!$A$7:$G$153,2,0),"")</f>
        <v>Sambal Kuning</v>
      </c>
      <c r="D181" s="22">
        <v>1</v>
      </c>
      <c r="E181" s="26"/>
    </row>
    <row r="182" spans="1:5" ht="16.5" x14ac:dyDescent="0.2">
      <c r="A182" s="22"/>
      <c r="B182" s="22" t="s">
        <v>46</v>
      </c>
      <c r="C182" s="40" t="str">
        <f>IFERROR(VLOOKUP(B182,'Rekap Stock Barang'!$A$7:$G$153,2,0),"")</f>
        <v>Sambal Petis</v>
      </c>
      <c r="D182" s="22">
        <v>1</v>
      </c>
      <c r="E182" s="26"/>
    </row>
    <row r="183" spans="1:5" ht="16.5" x14ac:dyDescent="0.2">
      <c r="A183" s="22"/>
      <c r="B183" s="22" t="s">
        <v>201</v>
      </c>
      <c r="C183" s="40" t="str">
        <f>IFERROR(VLOOKUP(B183,'Rekap Stock Barang'!$A$7:$G$153,2,0),"")</f>
        <v xml:space="preserve">Soda Polaris </v>
      </c>
      <c r="D183" s="22">
        <v>1</v>
      </c>
      <c r="E183" s="26"/>
    </row>
    <row r="184" spans="1:5" ht="16.5" x14ac:dyDescent="0.2">
      <c r="A184" s="22"/>
      <c r="B184" s="22" t="s">
        <v>217</v>
      </c>
      <c r="C184" s="40" t="str">
        <f>IFERROR(VLOOKUP(B184,'Rekap Stock Barang'!$A$7:$G$153,2,0),"")</f>
        <v>Thermal Paper</v>
      </c>
      <c r="D184" s="22">
        <v>2</v>
      </c>
      <c r="E184" s="26"/>
    </row>
    <row r="185" spans="1:5" ht="16.5" x14ac:dyDescent="0.2">
      <c r="A185" s="22"/>
      <c r="B185" s="22" t="s">
        <v>164</v>
      </c>
      <c r="C185" s="40" t="str">
        <f>IFERROR(VLOOKUP(B185,'Rekap Stock Barang'!$A$7:$G$153,2,0),"")</f>
        <v xml:space="preserve">Ekonomi </v>
      </c>
      <c r="D185" s="22">
        <v>2</v>
      </c>
      <c r="E185" s="26"/>
    </row>
    <row r="186" spans="1:5" ht="16.5" x14ac:dyDescent="0.2">
      <c r="A186" s="22"/>
      <c r="B186" s="22" t="s">
        <v>263</v>
      </c>
      <c r="C186" s="40" t="str">
        <f>IFERROR(VLOOKUP(B186,'Rekap Stock Barang'!$A$7:$G$153,2,0),"")</f>
        <v>Sambal Terasi</v>
      </c>
      <c r="D186" s="22">
        <v>1</v>
      </c>
      <c r="E186" s="26"/>
    </row>
    <row r="187" spans="1:5" ht="16.5" x14ac:dyDescent="0.2">
      <c r="A187" s="22"/>
      <c r="B187" s="22" t="s">
        <v>41</v>
      </c>
      <c r="C187" s="40" t="str">
        <f>IFERROR(VLOOKUP(B187,'Rekap Stock Barang'!$A$7:$G$153,2,0),"")</f>
        <v>Sambal Bawang</v>
      </c>
      <c r="D187" s="22">
        <v>2</v>
      </c>
      <c r="E187" s="26"/>
    </row>
    <row r="188" spans="1:5" ht="16.5" x14ac:dyDescent="0.2">
      <c r="A188" s="22"/>
      <c r="B188" s="22" t="s">
        <v>297</v>
      </c>
      <c r="C188" s="40" t="str">
        <f>IFERROR(VLOOKUP(B188,'Rekap Stock Barang'!$A$7:$G$153,2,0),"")</f>
        <v>Roti Bakar</v>
      </c>
      <c r="D188" s="22">
        <v>1</v>
      </c>
      <c r="E188" s="26"/>
    </row>
    <row r="189" spans="1:5" ht="16.5" x14ac:dyDescent="0.2">
      <c r="A189" s="22"/>
      <c r="B189" s="22" t="s">
        <v>272</v>
      </c>
      <c r="C189" s="40" t="str">
        <f>IFERROR(VLOOKUP(B189,'Rekap Stock Barang'!$A$7:$G$153,2,0),"")</f>
        <v>Tepung Telur</v>
      </c>
      <c r="D189" s="22">
        <v>4</v>
      </c>
      <c r="E189" s="26"/>
    </row>
    <row r="190" spans="1:5" ht="16.5" x14ac:dyDescent="0.2">
      <c r="A190" s="22"/>
      <c r="B190" s="22" t="s">
        <v>95</v>
      </c>
      <c r="C190" s="40" t="str">
        <f>IFERROR(VLOOKUP(B190,'Rekap Stock Barang'!$A$7:$G$153,2,0),"")</f>
        <v>Kopi</v>
      </c>
      <c r="D190" s="22">
        <v>1</v>
      </c>
      <c r="E190" s="26"/>
    </row>
    <row r="191" spans="1:5" ht="16.5" x14ac:dyDescent="0.2">
      <c r="A191" s="22"/>
      <c r="B191" s="22" t="s">
        <v>204</v>
      </c>
      <c r="C191" s="40" t="str">
        <f>IFERROR(VLOOKUP(B191,'Rekap Stock Barang'!$A$7:$G$153,2,0),"")</f>
        <v xml:space="preserve">Gula </v>
      </c>
      <c r="D191" s="22">
        <v>2</v>
      </c>
      <c r="E191" s="26"/>
    </row>
    <row r="192" spans="1:5" ht="16.5" x14ac:dyDescent="0.2">
      <c r="A192" s="22"/>
      <c r="B192" s="22" t="s">
        <v>298</v>
      </c>
      <c r="C192" s="40" t="str">
        <f>IFERROR(VLOOKUP(B192,'Rekap Stock Barang'!$A$7:$G$153,2,0),"")</f>
        <v>Take Away Bocx L</v>
      </c>
      <c r="D192" s="22">
        <v>1</v>
      </c>
      <c r="E192" s="26"/>
    </row>
    <row r="193" spans="1:5" ht="16.5" x14ac:dyDescent="0.2">
      <c r="A193" s="22"/>
      <c r="B193" s="22" t="s">
        <v>160</v>
      </c>
      <c r="C193" s="40" t="str">
        <f>IFERROR(VLOOKUP(B193,'Rekap Stock Barang'!$A$7:$G$153,2,0),"")</f>
        <v>Take Away Box M</v>
      </c>
      <c r="D193" s="22">
        <v>1</v>
      </c>
      <c r="E193" s="26"/>
    </row>
    <row r="194" spans="1:5" ht="16.5" x14ac:dyDescent="0.2">
      <c r="A194" s="22"/>
      <c r="B194" s="22" t="s">
        <v>270</v>
      </c>
      <c r="C194" s="40" t="str">
        <f>IFERROR(VLOOKUP(B194,'Rekap Stock Barang'!$A$7:$G$153,2,0),"")</f>
        <v>Tissue Toilet</v>
      </c>
      <c r="D194" s="22">
        <v>2</v>
      </c>
      <c r="E194" s="26"/>
    </row>
    <row r="195" spans="1:5" ht="16.5" x14ac:dyDescent="0.2">
      <c r="A195" s="22"/>
      <c r="B195" s="22" t="s">
        <v>282</v>
      </c>
      <c r="C195" s="40" t="str">
        <f>IFERROR(VLOOKUP(B195,'Rekap Stock Barang'!$A$7:$G$153,2,0),"")</f>
        <v>Bumbu Kwetiau</v>
      </c>
      <c r="D195" s="22">
        <v>1</v>
      </c>
      <c r="E195" s="26"/>
    </row>
    <row r="196" spans="1:5" ht="16.5" x14ac:dyDescent="0.2">
      <c r="A196" s="22"/>
      <c r="B196" s="22" t="s">
        <v>184</v>
      </c>
      <c r="C196" s="40" t="str">
        <f>IFERROR(VLOOKUP(B196,'Rekap Stock Barang'!$A$7:$G$153,2,0),"")</f>
        <v xml:space="preserve">Tepung Maizena </v>
      </c>
      <c r="D196" s="22">
        <v>1</v>
      </c>
      <c r="E196" s="26"/>
    </row>
    <row r="197" spans="1:5" ht="16.5" x14ac:dyDescent="0.2">
      <c r="A197" s="22"/>
      <c r="B197" s="22" t="s">
        <v>188</v>
      </c>
      <c r="C197" s="40" t="str">
        <f>IFERROR(VLOOKUP(B197,'Rekap Stock Barang'!$A$7:$G$153,2,0),"")</f>
        <v xml:space="preserve">Mie Urai </v>
      </c>
      <c r="D197" s="22">
        <v>2</v>
      </c>
      <c r="E197" s="26"/>
    </row>
    <row r="198" spans="1:5" ht="16.5" x14ac:dyDescent="0.2">
      <c r="A198" s="22"/>
      <c r="B198" s="22" t="s">
        <v>299</v>
      </c>
      <c r="C198" s="40" t="str">
        <f>IFERROR(VLOOKUP(B198,'Rekap Stock Barang'!$A$7:$G$153,2,0),"")</f>
        <v>Plastik Bima uk24</v>
      </c>
      <c r="D198" s="22">
        <v>1</v>
      </c>
      <c r="E198" s="26"/>
    </row>
    <row r="199" spans="1:5" ht="16.5" x14ac:dyDescent="0.2">
      <c r="A199" s="22"/>
      <c r="B199" s="22" t="s">
        <v>301</v>
      </c>
      <c r="C199" s="40" t="str">
        <f>IFERROR(VLOOKUP(B199,'Rekap Stock Barang'!$A$7:$G$153,2,0),"")</f>
        <v>Cup Sambal</v>
      </c>
      <c r="D199" s="22">
        <v>1</v>
      </c>
      <c r="E199" s="26"/>
    </row>
    <row r="200" spans="1:5" ht="16.5" x14ac:dyDescent="0.2">
      <c r="A200" s="22"/>
      <c r="B200" s="22" t="s">
        <v>143</v>
      </c>
      <c r="C200" s="40" t="str">
        <f>IFERROR(VLOOKUP(B200,'Rekap Stock Barang'!$A$7:$G$153,2,0),"")</f>
        <v>2in1 Sendok</v>
      </c>
      <c r="D200" s="22">
        <v>1</v>
      </c>
      <c r="E200" s="26"/>
    </row>
    <row r="201" spans="1:5" ht="16.5" x14ac:dyDescent="0.2">
      <c r="A201" s="22"/>
      <c r="B201" s="22" t="s">
        <v>228</v>
      </c>
      <c r="C201" s="40" t="str">
        <f>IFERROR(VLOOKUP(B201,'Rekap Stock Barang'!$A$7:$G$153,2,0),"")</f>
        <v xml:space="preserve">Sedotan </v>
      </c>
      <c r="D201" s="22">
        <v>2</v>
      </c>
      <c r="E201" s="26"/>
    </row>
    <row r="202" spans="1:5" ht="16.5" x14ac:dyDescent="0.2">
      <c r="A202" s="22"/>
      <c r="B202" s="22" t="s">
        <v>302</v>
      </c>
      <c r="C202" s="40" t="str">
        <f>IFERROR(VLOOKUP(B202,'Rekap Stock Barang'!$A$7:$G$153,2,0),"")</f>
        <v>Minyak Beku</v>
      </c>
      <c r="D202" s="22">
        <v>1</v>
      </c>
      <c r="E202" s="26"/>
    </row>
    <row r="203" spans="1:5" ht="16.5" x14ac:dyDescent="0.2">
      <c r="A203" s="22"/>
      <c r="B203" s="22" t="s">
        <v>271</v>
      </c>
      <c r="C203" s="40" t="str">
        <f>IFERROR(VLOOKUP(B203,'Rekap Stock Barang'!$A$7:$G$153,2,0),"")</f>
        <v>Plastik Soup XS</v>
      </c>
      <c r="D203" s="22">
        <v>1</v>
      </c>
      <c r="E203" s="26"/>
    </row>
    <row r="204" spans="1:5" ht="16.5" x14ac:dyDescent="0.2">
      <c r="A204" s="21"/>
      <c r="B204" s="22" t="s">
        <v>206</v>
      </c>
      <c r="C204" s="40" t="str">
        <f>IFERROR(VLOOKUP(B204,'Rekap Stock Barang'!$A$7:$G$153,2,0),"")</f>
        <v xml:space="preserve">Garam </v>
      </c>
      <c r="D204" s="22">
        <v>1</v>
      </c>
      <c r="E204" s="26"/>
    </row>
    <row r="205" spans="1:5" ht="16.5" x14ac:dyDescent="0.2">
      <c r="A205" s="21"/>
      <c r="B205" s="22" t="s">
        <v>303</v>
      </c>
      <c r="C205" s="40" t="str">
        <f>IFERROR(VLOOKUP(B205,'Rekap Stock Barang'!$A$7:$G$153,2,0),"")</f>
        <v/>
      </c>
      <c r="D205" s="22">
        <v>2</v>
      </c>
      <c r="E205" s="26"/>
    </row>
    <row r="206" spans="1:5" ht="16.5" x14ac:dyDescent="0.2">
      <c r="A206" s="21"/>
      <c r="B206" s="22" t="s">
        <v>290</v>
      </c>
      <c r="C206" s="40" t="str">
        <f>IFERROR(VLOOKUP(B206,'Rekap Stock Barang'!$A$7:$G$153,2,0),"")</f>
        <v>Bumbu Serundeng</v>
      </c>
      <c r="D206" s="22">
        <v>2</v>
      </c>
      <c r="E206" s="26"/>
    </row>
    <row r="207" spans="1:5" ht="16.5" x14ac:dyDescent="0.2">
      <c r="A207" s="21"/>
      <c r="B207" s="22" t="s">
        <v>191</v>
      </c>
      <c r="C207" s="40" t="str">
        <f>IFERROR(VLOOKUP(B207,'Rekap Stock Barang'!$A$7:$G$153,2,0),"")</f>
        <v>Sun Cara 1L</v>
      </c>
      <c r="D207" s="22">
        <v>1</v>
      </c>
      <c r="E207" s="26"/>
    </row>
    <row r="208" spans="1:5" ht="16.5" x14ac:dyDescent="0.2">
      <c r="A208" s="21"/>
      <c r="B208" s="22" t="s">
        <v>204</v>
      </c>
      <c r="C208" s="40" t="str">
        <f>IFERROR(VLOOKUP(B208,'Rekap Stock Barang'!$A$7:$G$153,2,0),"")</f>
        <v xml:space="preserve">Gula </v>
      </c>
      <c r="D208" s="22">
        <v>1</v>
      </c>
      <c r="E208" s="26"/>
    </row>
    <row r="209" spans="1:5" ht="16.5" x14ac:dyDescent="0.2">
      <c r="A209" s="21"/>
      <c r="B209" s="22" t="s">
        <v>189</v>
      </c>
      <c r="C209" s="40" t="str">
        <f>IFERROR(VLOOKUP(B209,'Rekap Stock Barang'!$A$7:$G$153,2,0),"")</f>
        <v xml:space="preserve">Susu Evaporasi </v>
      </c>
      <c r="D209" s="22">
        <v>1</v>
      </c>
      <c r="E209" s="26"/>
    </row>
    <row r="210" spans="1:5" ht="16.5" x14ac:dyDescent="0.2">
      <c r="A210" s="22"/>
      <c r="B210" s="22" t="s">
        <v>293</v>
      </c>
      <c r="C210" s="40" t="str">
        <f>IFERROR(VLOOKUP(B210,'Rekap Stock Barang'!$A$7:$G$153,2,0),"")</f>
        <v>Susu Kental Manis Carnation</v>
      </c>
      <c r="D210" s="22">
        <v>1</v>
      </c>
      <c r="E210" s="26"/>
    </row>
    <row r="211" spans="1:5" ht="16.5" x14ac:dyDescent="0.2">
      <c r="A211" s="22"/>
      <c r="B211" s="22" t="s">
        <v>281</v>
      </c>
      <c r="C211" s="40" t="str">
        <f>IFERROR(VLOOKUP(B211,'Rekap Stock Barang'!$A$7:$G$153,2,0),"")</f>
        <v>Diamond Milk</v>
      </c>
      <c r="D211" s="22">
        <v>1</v>
      </c>
      <c r="E211" s="26"/>
    </row>
    <row r="212" spans="1:5" ht="16.5" x14ac:dyDescent="0.2">
      <c r="A212" s="22"/>
      <c r="B212" s="22" t="s">
        <v>215</v>
      </c>
      <c r="C212" s="40" t="str">
        <f>IFERROR(VLOOKUP(B212,'Rekap Stock Barang'!$A$7:$G$153,2,0),"")</f>
        <v>Cup Ice</v>
      </c>
      <c r="D212" s="22">
        <v>1</v>
      </c>
      <c r="E212" s="26"/>
    </row>
    <row r="213" spans="1:5" ht="16.5" x14ac:dyDescent="0.2">
      <c r="A213" s="28" t="s">
        <v>304</v>
      </c>
      <c r="B213" s="28" t="s">
        <v>16</v>
      </c>
      <c r="C213" s="74" t="str">
        <f>IFERROR(VLOOKUP(B213,'Rekap Stock Barang'!$A$7:$G$153,2,0),"")</f>
        <v>Paha</v>
      </c>
      <c r="D213" s="28">
        <v>2</v>
      </c>
      <c r="E213" s="26"/>
    </row>
    <row r="214" spans="1:5" ht="16.5" x14ac:dyDescent="0.2">
      <c r="A214" s="28" t="s">
        <v>304</v>
      </c>
      <c r="B214" s="28" t="s">
        <v>252</v>
      </c>
      <c r="C214" s="74" t="str">
        <f>IFERROR(VLOOKUP(B214,'Rekap Stock Barang'!$A$7:$G$153,2,0),"")</f>
        <v xml:space="preserve">Ayam Suwir </v>
      </c>
      <c r="D214" s="28">
        <v>1</v>
      </c>
      <c r="E214" s="26"/>
    </row>
    <row r="215" spans="1:5" ht="16.5" x14ac:dyDescent="0.2">
      <c r="A215" s="22"/>
      <c r="B215" s="22" t="s">
        <v>181</v>
      </c>
      <c r="C215" s="40" t="str">
        <f>IFERROR(VLOOKUP(B215,'Rekap Stock Barang'!$A$7:$G$153,2,0),"")</f>
        <v xml:space="preserve">Sagu Mutiara </v>
      </c>
      <c r="D215" s="22">
        <v>1</v>
      </c>
      <c r="E215" s="26"/>
    </row>
    <row r="216" spans="1:5" ht="16.5" x14ac:dyDescent="0.2">
      <c r="A216" s="22"/>
      <c r="B216" s="22" t="s">
        <v>86</v>
      </c>
      <c r="C216" s="40" t="str">
        <f>IFERROR(VLOOKUP(B216,'Rekap Stock Barang'!$A$7:$G$153,2,0),"")</f>
        <v>Lhychee Kaleng</v>
      </c>
      <c r="D216" s="22">
        <v>1</v>
      </c>
      <c r="E216" s="26"/>
    </row>
    <row r="217" spans="1:5" ht="16.5" x14ac:dyDescent="0.2">
      <c r="A217" s="22"/>
      <c r="B217" s="22" t="s">
        <v>217</v>
      </c>
      <c r="C217" s="40" t="str">
        <f>IFERROR(VLOOKUP(B217,'Rekap Stock Barang'!$A$7:$G$153,2,0),"")</f>
        <v>Thermal Paper</v>
      </c>
      <c r="D217" s="22">
        <v>4</v>
      </c>
      <c r="E217" s="26"/>
    </row>
    <row r="218" spans="1:5" ht="16.5" x14ac:dyDescent="0.2">
      <c r="A218" s="8"/>
      <c r="B218" s="53" t="s">
        <v>130</v>
      </c>
      <c r="C218" s="54" t="str">
        <f>IFERROR(VLOOKUP(B218,'Rekap Stock Barang'!$A$7:$G$153,2,0),"")</f>
        <v>Plastik Sampah S</v>
      </c>
      <c r="D218" s="53">
        <v>3</v>
      </c>
      <c r="E218" s="26"/>
    </row>
    <row r="219" spans="1:5" ht="16.5" x14ac:dyDescent="0.2">
      <c r="A219" s="8"/>
      <c r="B219" s="53" t="s">
        <v>131</v>
      </c>
      <c r="C219" s="54" t="str">
        <f>IFERROR(VLOOKUP(B219,'Rekap Stock Barang'!$A$7:$G$153,2,0),"")</f>
        <v>Plastik Sampah M</v>
      </c>
      <c r="D219" s="53">
        <v>2</v>
      </c>
      <c r="E219" s="26"/>
    </row>
    <row r="220" spans="1:5" ht="16.5" x14ac:dyDescent="0.2">
      <c r="A220" s="8"/>
      <c r="B220" s="53" t="s">
        <v>132</v>
      </c>
      <c r="C220" s="54" t="str">
        <f>IFERROR(VLOOKUP(B220,'Rekap Stock Barang'!$A$7:$G$153,2,0),"")</f>
        <v>Plastik Sampah L</v>
      </c>
      <c r="D220" s="53">
        <v>2</v>
      </c>
      <c r="E220" s="26"/>
    </row>
    <row r="221" spans="1:5" ht="16.5" x14ac:dyDescent="0.2">
      <c r="A221" s="8"/>
      <c r="B221" s="53" t="s">
        <v>274</v>
      </c>
      <c r="C221" s="54" t="str">
        <f>IFERROR(VLOOKUP(B221,'Rekap Stock Barang'!$A$7:$G$153,2,0),"")</f>
        <v>Plastik Sampah XL</v>
      </c>
      <c r="D221" s="53">
        <v>1</v>
      </c>
      <c r="E221" s="26"/>
    </row>
    <row r="222" spans="1:5" ht="16.5" x14ac:dyDescent="0.2">
      <c r="A222" s="22"/>
      <c r="B222" s="55" t="s">
        <v>236</v>
      </c>
      <c r="C222" s="56" t="str">
        <f>IFERROR(VLOOKUP(B222,'Rekap Stock Barang'!$A$7:$G$153,2,0),"")</f>
        <v xml:space="preserve">Paha Gurih Manis </v>
      </c>
      <c r="D222" s="55">
        <v>5</v>
      </c>
      <c r="E222" s="26"/>
    </row>
    <row r="223" spans="1:5" ht="16.5" x14ac:dyDescent="0.2">
      <c r="A223" s="22"/>
      <c r="B223" s="55" t="s">
        <v>241</v>
      </c>
      <c r="C223" s="56" t="str">
        <f>IFERROR(VLOOKUP(B223,'Rekap Stock Barang'!$A$7:$G$153,2,0),"")</f>
        <v>Dada Gurih Manis</v>
      </c>
      <c r="D223" s="55">
        <v>4</v>
      </c>
      <c r="E223" s="26"/>
    </row>
    <row r="224" spans="1:5" ht="16.5" x14ac:dyDescent="0.2">
      <c r="A224" s="22"/>
      <c r="B224" s="55" t="s">
        <v>16</v>
      </c>
      <c r="C224" s="56" t="str">
        <f>IFERROR(VLOOKUP(B224,'Rekap Stock Barang'!$A$7:$G$153,2,0),"")</f>
        <v>Paha</v>
      </c>
      <c r="D224" s="55">
        <v>19</v>
      </c>
      <c r="E224" s="26"/>
    </row>
    <row r="225" spans="1:5" ht="16.5" x14ac:dyDescent="0.2">
      <c r="A225" s="22"/>
      <c r="B225" s="55" t="s">
        <v>19</v>
      </c>
      <c r="C225" s="56" t="str">
        <f>IFERROR(VLOOKUP(B225,'Rekap Stock Barang'!$A$7:$G$153,2,0),"")</f>
        <v>Dada</v>
      </c>
      <c r="D225" s="55">
        <v>3</v>
      </c>
      <c r="E225" s="26"/>
    </row>
    <row r="226" spans="1:5" ht="16.5" x14ac:dyDescent="0.2">
      <c r="A226" s="22"/>
      <c r="B226" s="55" t="s">
        <v>8</v>
      </c>
      <c r="C226" s="56" t="str">
        <f>IFERROR(VLOOKUP(B226,'Rekap Stock Barang'!$A$7:$G$153,2,0),"")</f>
        <v xml:space="preserve">Ayam Suwir </v>
      </c>
      <c r="D226" s="55">
        <v>34</v>
      </c>
      <c r="E226" s="26"/>
    </row>
    <row r="227" spans="1:5" ht="16.5" x14ac:dyDescent="0.2">
      <c r="A227" s="22"/>
      <c r="B227" s="55" t="s">
        <v>9</v>
      </c>
      <c r="C227" s="56" t="str">
        <f>IFERROR(VLOOKUP(B227,'Rekap Stock Barang'!$A$7:$G$153,2,0),"")</f>
        <v xml:space="preserve">Topping Kwetiau </v>
      </c>
      <c r="D227" s="55">
        <v>25</v>
      </c>
      <c r="E227" s="26"/>
    </row>
    <row r="228" spans="1:5" ht="16.5" x14ac:dyDescent="0.2">
      <c r="A228" s="22"/>
      <c r="B228" s="55" t="s">
        <v>243</v>
      </c>
      <c r="C228" s="56" t="str">
        <f>IFERROR(VLOOKUP(B228,'Rekap Stock Barang'!$A$7:$G$153,2,0),"")</f>
        <v xml:space="preserve">Daging Slice </v>
      </c>
      <c r="D228" s="55">
        <v>8</v>
      </c>
      <c r="E228" s="26"/>
    </row>
    <row r="229" spans="1:5" ht="16.5" x14ac:dyDescent="0.2">
      <c r="A229" s="22"/>
      <c r="B229" s="55" t="s">
        <v>14</v>
      </c>
      <c r="C229" s="56" t="str">
        <f>IFERROR(VLOOKUP(B229,'Rekap Stock Barang'!$A$7:$G$153,2,0),"")</f>
        <v>Ayam Jamur</v>
      </c>
      <c r="D229" s="55">
        <v>8</v>
      </c>
      <c r="E229" s="26"/>
    </row>
    <row r="230" spans="1:5" ht="16.5" x14ac:dyDescent="0.2">
      <c r="A230" s="22"/>
      <c r="B230" s="55" t="s">
        <v>20</v>
      </c>
      <c r="C230" s="56" t="str">
        <f>IFERROR(VLOOKUP(B230,'Rekap Stock Barang'!$A$7:$G$153,2,0),"")</f>
        <v>Cumi</v>
      </c>
      <c r="D230" s="55">
        <v>14</v>
      </c>
      <c r="E230" s="26"/>
    </row>
    <row r="231" spans="1:5" ht="16.5" x14ac:dyDescent="0.2">
      <c r="A231" s="22"/>
      <c r="B231" s="55" t="s">
        <v>38</v>
      </c>
      <c r="C231" s="56" t="str">
        <f>IFERROR(VLOOKUP(B231,'Rekap Stock Barang'!$A$7:$G$153,2,0),"")</f>
        <v>Daging Sambal HIjau</v>
      </c>
      <c r="D231" s="55">
        <v>2</v>
      </c>
      <c r="E231" s="26"/>
    </row>
    <row r="232" spans="1:5" ht="16.5" x14ac:dyDescent="0.2">
      <c r="A232" s="22"/>
      <c r="B232" s="55" t="s">
        <v>22</v>
      </c>
      <c r="C232" s="56" t="str">
        <f>IFERROR(VLOOKUP(B232,'Rekap Stock Barang'!$A$7:$G$153,2,0),"")</f>
        <v>Kulit</v>
      </c>
      <c r="D232" s="55">
        <v>8</v>
      </c>
      <c r="E232" s="26"/>
    </row>
    <row r="233" spans="1:5" ht="16.5" x14ac:dyDescent="0.2">
      <c r="A233" s="22"/>
      <c r="B233" s="55" t="s">
        <v>28</v>
      </c>
      <c r="C233" s="56" t="str">
        <f>IFERROR(VLOOKUP(B233,'Rekap Stock Barang'!$A$7:$G$153,2,0),"")</f>
        <v xml:space="preserve">Topping Nasi Gila </v>
      </c>
      <c r="D233" s="55">
        <v>4</v>
      </c>
      <c r="E233" s="26"/>
    </row>
    <row r="234" spans="1:5" ht="16.5" x14ac:dyDescent="0.2">
      <c r="A234" s="22"/>
      <c r="B234" s="55" t="s">
        <v>24</v>
      </c>
      <c r="C234" s="56" t="str">
        <f>IFERROR(VLOOKUP(B234,'Rekap Stock Barang'!$A$7:$G$153,2,0),"")</f>
        <v xml:space="preserve">Lidah </v>
      </c>
      <c r="D234" s="55">
        <v>4</v>
      </c>
      <c r="E234" s="26"/>
    </row>
    <row r="235" spans="1:5" ht="16.5" x14ac:dyDescent="0.2">
      <c r="A235" s="22"/>
      <c r="B235" s="55" t="s">
        <v>288</v>
      </c>
      <c r="C235" s="56" t="str">
        <f>IFERROR(VLOOKUP(B235,'Rekap Stock Barang'!$A$7:$G$153,2,0),"")</f>
        <v>Pete</v>
      </c>
      <c r="D235" s="55">
        <v>1</v>
      </c>
      <c r="E235" s="26"/>
    </row>
    <row r="236" spans="1:5" ht="16.5" x14ac:dyDescent="0.2">
      <c r="A236" s="22"/>
      <c r="B236" s="55" t="s">
        <v>275</v>
      </c>
      <c r="C236" s="56" t="str">
        <f>IFERROR(VLOOKUP(B236,'Rekap Stock Barang'!$A$7:$G$153,2,0),"")</f>
        <v xml:space="preserve">Teri Pete </v>
      </c>
      <c r="D236" s="55">
        <v>4</v>
      </c>
      <c r="E236" s="26"/>
    </row>
    <row r="237" spans="1:5" ht="16.5" x14ac:dyDescent="0.2">
      <c r="A237" s="22"/>
      <c r="B237" s="55" t="s">
        <v>10</v>
      </c>
      <c r="C237" s="56" t="str">
        <f>IFERROR(VLOOKUP(B237,'Rekap Stock Barang'!$A$7:$G$153,2,0),"")</f>
        <v>Topping Mbakmoy</v>
      </c>
      <c r="D237" s="55">
        <v>1</v>
      </c>
      <c r="E237" s="26"/>
    </row>
    <row r="238" spans="1:5" ht="16.5" x14ac:dyDescent="0.2">
      <c r="A238" s="22"/>
      <c r="B238" s="55" t="s">
        <v>276</v>
      </c>
      <c r="C238" s="56" t="str">
        <f>IFERROR(VLOOKUP(B238,'Rekap Stock Barang'!$A$7:$G$153,2,0),"")</f>
        <v>Sambal Baby Cumi</v>
      </c>
      <c r="D238" s="55">
        <v>12</v>
      </c>
      <c r="E238" s="26"/>
    </row>
    <row r="239" spans="1:5" ht="16.5" x14ac:dyDescent="0.2">
      <c r="A239" s="22"/>
      <c r="B239" s="57" t="s">
        <v>31</v>
      </c>
      <c r="C239" s="58" t="str">
        <f>IFERROR(VLOOKUP(B239,'Rekap Stock Barang'!$A$7:$G$153,2,0),"")</f>
        <v>Bagor</v>
      </c>
      <c r="D239" s="57">
        <v>12</v>
      </c>
      <c r="E239" s="26"/>
    </row>
    <row r="240" spans="1:5" ht="16.5" x14ac:dyDescent="0.2">
      <c r="A240" s="22"/>
      <c r="B240" s="57" t="s">
        <v>178</v>
      </c>
      <c r="C240" s="58" t="str">
        <f>IFERROR(VLOOKUP(B240,'Rekap Stock Barang'!$A$7:$G$153,2,0),"")</f>
        <v xml:space="preserve">Cireng </v>
      </c>
      <c r="D240" s="57">
        <v>1</v>
      </c>
      <c r="E240" s="26"/>
    </row>
    <row r="241" spans="1:5" ht="16.5" x14ac:dyDescent="0.2">
      <c r="A241" s="22"/>
      <c r="B241" s="57" t="s">
        <v>238</v>
      </c>
      <c r="C241" s="58" t="str">
        <f>IFERROR(VLOOKUP(B241,'Rekap Stock Barang'!$A$7:$G$153,2,0),"")</f>
        <v>Sayap Goreng</v>
      </c>
      <c r="D241" s="57">
        <v>4</v>
      </c>
      <c r="E241" s="26"/>
    </row>
    <row r="242" spans="1:5" ht="16.5" x14ac:dyDescent="0.2">
      <c r="A242" s="22"/>
      <c r="B242" s="59" t="s">
        <v>175</v>
      </c>
      <c r="C242" s="60" t="str">
        <f>IFERROR(VLOOKUP(B242,'Rekap Stock Barang'!$A$7:$G$153,2,0),"")</f>
        <v>Mineral</v>
      </c>
      <c r="D242" s="59">
        <v>59</v>
      </c>
      <c r="E242" s="26"/>
    </row>
    <row r="243" spans="1:5" ht="16.5" x14ac:dyDescent="0.2">
      <c r="A243" s="22"/>
      <c r="B243" s="59" t="s">
        <v>170</v>
      </c>
      <c r="C243" s="60" t="str">
        <f>IFERROR(VLOOKUP(B243,'Rekap Stock Barang'!$A$7:$G$153,2,0),"")</f>
        <v>Air Tahu</v>
      </c>
      <c r="D243" s="59">
        <v>4</v>
      </c>
      <c r="E243" s="26"/>
    </row>
    <row r="244" spans="1:5" ht="16.5" x14ac:dyDescent="0.2">
      <c r="A244" s="22"/>
      <c r="B244" s="59" t="s">
        <v>229</v>
      </c>
      <c r="C244" s="60" t="str">
        <f>IFERROR(VLOOKUP(B244,'Rekap Stock Barang'!$A$7:$G$153,2,0),"")</f>
        <v xml:space="preserve">Manggo Juice </v>
      </c>
      <c r="D244" s="59">
        <v>2</v>
      </c>
      <c r="E244" s="26"/>
    </row>
    <row r="245" spans="1:5" ht="16.5" x14ac:dyDescent="0.2">
      <c r="A245" s="22"/>
      <c r="B245" s="59" t="s">
        <v>226</v>
      </c>
      <c r="C245" s="60" t="str">
        <f>IFERROR(VLOOKUP(B245,'Rekap Stock Barang'!$A$7:$G$153,2,0),"")</f>
        <v>Mix Berries</v>
      </c>
      <c r="D245" s="59">
        <v>2</v>
      </c>
      <c r="E245" s="26"/>
    </row>
    <row r="246" spans="1:5" ht="16.5" x14ac:dyDescent="0.2">
      <c r="A246" s="69"/>
      <c r="B246" s="70" t="s">
        <v>202</v>
      </c>
      <c r="C246" s="60" t="str">
        <f>IFERROR(VLOOKUP(B246,'Rekap Stock Barang'!$A$7:$G$153,2,0),"")</f>
        <v xml:space="preserve">Zoda Water </v>
      </c>
      <c r="D246" s="70">
        <v>0</v>
      </c>
      <c r="E246" s="26"/>
    </row>
    <row r="247" spans="1:5" ht="17.25" thickBot="1" x14ac:dyDescent="0.25">
      <c r="A247" s="61"/>
      <c r="B247" s="62" t="s">
        <v>223</v>
      </c>
      <c r="C247" s="63" t="str">
        <f>IFERROR(VLOOKUP(B247,'Rekap Stock Barang'!$A$7:$G$153,2,0),"")</f>
        <v>Sirsak Juice</v>
      </c>
      <c r="D247" s="62">
        <v>1</v>
      </c>
      <c r="E247" s="26"/>
    </row>
    <row r="248" spans="1:5" ht="16.5" x14ac:dyDescent="0.2">
      <c r="A248" s="21">
        <v>46271</v>
      </c>
      <c r="B248" s="22" t="s">
        <v>209</v>
      </c>
      <c r="C248" s="40" t="str">
        <f>IFERROR(VLOOKUP(B248,'Rekap Stock Barang'!$A$7:$G$153,2,0),"")</f>
        <v>Kecap Maggi</v>
      </c>
      <c r="D248" s="22">
        <v>1</v>
      </c>
      <c r="E248" s="26"/>
    </row>
    <row r="249" spans="1:5" ht="16.5" x14ac:dyDescent="0.2">
      <c r="A249" s="22"/>
      <c r="B249" s="22" t="s">
        <v>306</v>
      </c>
      <c r="C249" s="40" t="str">
        <f>IFERROR(VLOOKUP(B249,'Rekap Stock Barang'!$A$7:$G$153,2,0),"")</f>
        <v>Raja Rasa</v>
      </c>
      <c r="D249" s="22">
        <v>1</v>
      </c>
      <c r="E249" s="26"/>
    </row>
    <row r="250" spans="1:5" ht="16.5" x14ac:dyDescent="0.2">
      <c r="A250" s="22"/>
      <c r="B250" s="22" t="s">
        <v>208</v>
      </c>
      <c r="C250" s="40" t="str">
        <f>IFERROR(VLOOKUP(B250,'Rekap Stock Barang'!$A$7:$G$153,2,0),"")</f>
        <v>Kecap Ikan Tipparos</v>
      </c>
      <c r="D250" s="22">
        <v>1</v>
      </c>
      <c r="E250" s="26"/>
    </row>
    <row r="251" spans="1:5" ht="16.5" x14ac:dyDescent="0.2">
      <c r="A251" s="22"/>
      <c r="B251" s="22" t="s">
        <v>184</v>
      </c>
      <c r="C251" s="40" t="str">
        <f>IFERROR(VLOOKUP(B251,'Rekap Stock Barang'!$A$7:$G$153,2,0),"")</f>
        <v xml:space="preserve">Tepung Maizena </v>
      </c>
      <c r="D251" s="22">
        <v>1</v>
      </c>
      <c r="E251" s="26"/>
    </row>
    <row r="252" spans="1:5" ht="16.5" x14ac:dyDescent="0.2">
      <c r="A252" s="22"/>
      <c r="B252" s="22" t="s">
        <v>266</v>
      </c>
      <c r="C252" s="40" t="str">
        <f>IFERROR(VLOOKUP(B252,'Rekap Stock Barang'!$A$7:$G$153,2,0),"")</f>
        <v>Tepung Terigu</v>
      </c>
      <c r="D252" s="22">
        <v>4</v>
      </c>
      <c r="E252" s="26"/>
    </row>
    <row r="253" spans="1:5" ht="16.5" x14ac:dyDescent="0.2">
      <c r="A253" s="21"/>
      <c r="B253" s="22" t="s">
        <v>186</v>
      </c>
      <c r="C253" s="40" t="str">
        <f>IFERROR(VLOOKUP(B253,'Rekap Stock Barang'!$A$7:$G$153,2,0),"")</f>
        <v xml:space="preserve">Tepung Beras Bola </v>
      </c>
      <c r="D253" s="22">
        <v>4</v>
      </c>
      <c r="E253" s="26"/>
    </row>
    <row r="254" spans="1:5" ht="16.5" x14ac:dyDescent="0.2">
      <c r="A254" s="21"/>
      <c r="B254" s="22" t="s">
        <v>305</v>
      </c>
      <c r="C254" s="40" t="str">
        <f>IFERROR(VLOOKUP(B254,'Rekap Stock Barang'!$A$7:$G$153,2,0),"")</f>
        <v xml:space="preserve">Gula Halus </v>
      </c>
      <c r="D254" s="22">
        <v>1</v>
      </c>
      <c r="E254" s="26"/>
    </row>
    <row r="255" spans="1:5" ht="16.5" x14ac:dyDescent="0.2">
      <c r="A255" s="21"/>
      <c r="B255" s="22" t="s">
        <v>290</v>
      </c>
      <c r="C255" s="40" t="str">
        <f>IFERROR(VLOOKUP(B255,'Rekap Stock Barang'!$A$7:$G$153,2,0),"")</f>
        <v>Bumbu Serundeng</v>
      </c>
      <c r="D255" s="22">
        <v>3</v>
      </c>
      <c r="E255" s="26"/>
    </row>
    <row r="256" spans="1:5" ht="16.5" x14ac:dyDescent="0.2">
      <c r="A256" s="21"/>
      <c r="B256" s="22" t="s">
        <v>254</v>
      </c>
      <c r="C256" s="40" t="str">
        <f>IFERROR(VLOOKUP(B256,'Rekap Stock Barang'!$A$7:$G$153,2,0),"")</f>
        <v>Kunci Mas</v>
      </c>
      <c r="D256" s="22">
        <v>1</v>
      </c>
      <c r="E256" s="26"/>
    </row>
    <row r="257" spans="1:5" ht="16.5" x14ac:dyDescent="0.2">
      <c r="A257" s="21"/>
      <c r="B257" s="22" t="s">
        <v>286</v>
      </c>
      <c r="C257" s="40" t="str">
        <f>IFERROR(VLOOKUP(B257,'Rekap Stock Barang'!$A$7:$G$153,2,0),"")</f>
        <v>Bumbu Segara</v>
      </c>
      <c r="D257" s="22">
        <v>1</v>
      </c>
      <c r="E257" s="26"/>
    </row>
    <row r="258" spans="1:5" ht="16.5" x14ac:dyDescent="0.2">
      <c r="A258" s="22"/>
      <c r="B258" s="22" t="s">
        <v>301</v>
      </c>
      <c r="C258" s="40" t="str">
        <f>IFERROR(VLOOKUP(B258,'Rekap Stock Barang'!$A$7:$G$153,2,0),"")</f>
        <v>Cup Sambal</v>
      </c>
      <c r="D258" s="22">
        <v>1</v>
      </c>
      <c r="E258" s="26"/>
    </row>
    <row r="259" spans="1:5" ht="16.5" x14ac:dyDescent="0.2">
      <c r="A259" s="22"/>
      <c r="B259" s="22" t="s">
        <v>271</v>
      </c>
      <c r="C259" s="40" t="str">
        <f>IFERROR(VLOOKUP(B259,'Rekap Stock Barang'!$A$7:$G$153,2,0),"")</f>
        <v>Plastik Soup XS</v>
      </c>
      <c r="D259" s="22">
        <v>1</v>
      </c>
      <c r="E259" s="26"/>
    </row>
    <row r="260" spans="1:5" ht="16.5" x14ac:dyDescent="0.2">
      <c r="A260" s="22"/>
      <c r="B260" s="22" t="s">
        <v>148</v>
      </c>
      <c r="C260" s="40" t="str">
        <f>IFERROR(VLOOKUP(B260,'Rekap Stock Barang'!$A$7:$G$153,2,0),"")</f>
        <v>Tissue Meja</v>
      </c>
      <c r="D260" s="22">
        <v>1</v>
      </c>
      <c r="E260" s="26"/>
    </row>
    <row r="261" spans="1:5" ht="16.5" x14ac:dyDescent="0.2">
      <c r="A261" s="22"/>
      <c r="B261" s="22" t="s">
        <v>273</v>
      </c>
      <c r="C261" s="40" t="str">
        <f>IFERROR(VLOOKUP(B261,'Rekap Stock Barang'!$A$7:$G$153,2,0),"")</f>
        <v>Sambal Bawang</v>
      </c>
      <c r="D261" s="22">
        <v>1</v>
      </c>
      <c r="E261" s="26"/>
    </row>
    <row r="262" spans="1:5" ht="16.5" x14ac:dyDescent="0.2">
      <c r="A262" s="22"/>
      <c r="B262" s="22" t="s">
        <v>292</v>
      </c>
      <c r="C262" s="40" t="str">
        <f>IFERROR(VLOOKUP(B262,'Rekap Stock Barang'!$A$7:$G$153,2,0),"")</f>
        <v>Sambal Kuning</v>
      </c>
      <c r="D262" s="22">
        <v>1</v>
      </c>
      <c r="E262" s="26"/>
    </row>
    <row r="263" spans="1:5" ht="16.5" x14ac:dyDescent="0.2">
      <c r="A263" s="22"/>
      <c r="B263" s="22" t="s">
        <v>201</v>
      </c>
      <c r="C263" s="40" t="str">
        <f>IFERROR(VLOOKUP(B263,'Rekap Stock Barang'!$A$7:$G$153,2,0),"")</f>
        <v xml:space="preserve">Soda Polaris </v>
      </c>
      <c r="D263" s="22">
        <v>1</v>
      </c>
      <c r="E263" s="26"/>
    </row>
    <row r="264" spans="1:5" ht="16.5" x14ac:dyDescent="0.2">
      <c r="A264" s="22"/>
      <c r="B264" s="22" t="s">
        <v>281</v>
      </c>
      <c r="C264" s="40" t="str">
        <f>IFERROR(VLOOKUP(B264,'Rekap Stock Barang'!$A$7:$G$153,2,0),"")</f>
        <v>Diamond Milk</v>
      </c>
      <c r="D264" s="22">
        <v>1</v>
      </c>
      <c r="E264" s="26"/>
    </row>
    <row r="265" spans="1:5" ht="16.5" x14ac:dyDescent="0.2">
      <c r="A265" s="22"/>
      <c r="B265" s="22" t="s">
        <v>293</v>
      </c>
      <c r="C265" s="40" t="str">
        <f>IFERROR(VLOOKUP(B265,'Rekap Stock Barang'!$A$7:$G$153,2,0),"")</f>
        <v>Susu Kental Manis Carnation</v>
      </c>
      <c r="D265" s="22">
        <v>1</v>
      </c>
      <c r="E265" s="26"/>
    </row>
    <row r="266" spans="1:5" ht="16.5" x14ac:dyDescent="0.2">
      <c r="A266" s="22"/>
      <c r="B266" s="22" t="s">
        <v>189</v>
      </c>
      <c r="C266" s="40" t="str">
        <f>IFERROR(VLOOKUP(B266,'Rekap Stock Barang'!$A$7:$G$153,2,0),"")</f>
        <v xml:space="preserve">Susu Evaporasi </v>
      </c>
      <c r="D266" s="22">
        <v>2</v>
      </c>
      <c r="E266" s="26"/>
    </row>
    <row r="267" spans="1:5" ht="16.5" x14ac:dyDescent="0.2">
      <c r="A267" s="22"/>
      <c r="B267" s="22" t="s">
        <v>204</v>
      </c>
      <c r="C267" s="40" t="str">
        <f>IFERROR(VLOOKUP(B267,'Rekap Stock Barang'!$A$7:$G$153,2,0),"")</f>
        <v xml:space="preserve">Gula </v>
      </c>
      <c r="D267" s="22">
        <v>1</v>
      </c>
      <c r="E267" s="26"/>
    </row>
    <row r="268" spans="1:5" ht="16.5" x14ac:dyDescent="0.2">
      <c r="A268" s="22"/>
      <c r="B268" s="22" t="s">
        <v>164</v>
      </c>
      <c r="C268" s="40" t="str">
        <f>IFERROR(VLOOKUP(B268,'Rekap Stock Barang'!$A$7:$G$153,2,0),"")</f>
        <v xml:space="preserve">Ekonomi </v>
      </c>
      <c r="D268" s="22">
        <v>4</v>
      </c>
      <c r="E268" s="26"/>
    </row>
    <row r="269" spans="1:5" ht="16.5" x14ac:dyDescent="0.2">
      <c r="A269" s="22"/>
      <c r="B269" s="22" t="s">
        <v>192</v>
      </c>
      <c r="C269" s="40" t="str">
        <f>IFERROR(VLOOKUP(B269,'Rekap Stock Barang'!$A$7:$G$153,2,0),"")</f>
        <v xml:space="preserve">Max Creamer </v>
      </c>
      <c r="D269" s="22">
        <v>1</v>
      </c>
      <c r="E269" s="26"/>
    </row>
    <row r="270" spans="1:5" ht="16.5" x14ac:dyDescent="0.2">
      <c r="A270" s="22"/>
      <c r="B270" s="22" t="s">
        <v>73</v>
      </c>
      <c r="C270" s="40" t="str">
        <f>IFERROR(VLOOKUP(B270,'Rekap Stock Barang'!$A$7:$G$153,2,0),"")</f>
        <v>Milo</v>
      </c>
      <c r="D270" s="22">
        <v>1</v>
      </c>
      <c r="E270" s="26"/>
    </row>
    <row r="271" spans="1:5" ht="16.5" x14ac:dyDescent="0.2">
      <c r="A271" s="22"/>
      <c r="B271" s="22" t="s">
        <v>215</v>
      </c>
      <c r="C271" s="40" t="str">
        <f>IFERROR(VLOOKUP(B271,'Rekap Stock Barang'!$A$7:$G$153,2,0),"")</f>
        <v>Cup Ice</v>
      </c>
      <c r="D271" s="22">
        <v>1</v>
      </c>
      <c r="E271" s="26"/>
    </row>
    <row r="272" spans="1:5" ht="16.5" x14ac:dyDescent="0.2">
      <c r="A272" s="22"/>
      <c r="B272" s="22" t="s">
        <v>216</v>
      </c>
      <c r="C272" s="40" t="str">
        <f>IFERROR(VLOOKUP(B272,'Rekap Stock Barang'!$A$7:$G$153,2,0),"")</f>
        <v>Cup Hot</v>
      </c>
      <c r="D272" s="22">
        <v>1</v>
      </c>
      <c r="E272" s="26"/>
    </row>
    <row r="273" spans="1:5" ht="16.5" x14ac:dyDescent="0.2">
      <c r="A273" s="22"/>
      <c r="B273" s="22" t="s">
        <v>282</v>
      </c>
      <c r="C273" s="40" t="str">
        <f>IFERROR(VLOOKUP(B273,'Rekap Stock Barang'!$A$7:$G$153,2,0),"")</f>
        <v>Bumbu Kwetiau</v>
      </c>
      <c r="D273" s="22">
        <v>1</v>
      </c>
      <c r="E273" s="26"/>
    </row>
    <row r="274" spans="1:5" ht="16.5" x14ac:dyDescent="0.2">
      <c r="A274" s="22"/>
      <c r="B274" s="22" t="s">
        <v>272</v>
      </c>
      <c r="C274" s="40" t="str">
        <f>IFERROR(VLOOKUP(B274,'Rekap Stock Barang'!$A$7:$G$153,2,0),"")</f>
        <v>Tepung Telur</v>
      </c>
      <c r="D274" s="22">
        <v>3</v>
      </c>
      <c r="E274" s="26"/>
    </row>
    <row r="275" spans="1:5" ht="16.5" x14ac:dyDescent="0.2">
      <c r="A275" s="22"/>
      <c r="B275" s="22" t="s">
        <v>270</v>
      </c>
      <c r="C275" s="40" t="str">
        <f>IFERROR(VLOOKUP(B275,'Rekap Stock Barang'!$A$7:$G$153,2,0),"")</f>
        <v>Tissue Toilet</v>
      </c>
      <c r="D275" s="22">
        <v>2</v>
      </c>
      <c r="E275" s="26"/>
    </row>
    <row r="276" spans="1:5" ht="16.5" x14ac:dyDescent="0.2">
      <c r="A276" s="8"/>
      <c r="B276" s="53" t="s">
        <v>130</v>
      </c>
      <c r="C276" s="54" t="str">
        <f>IFERROR(VLOOKUP(B276,'Rekap Stock Barang'!$A$7:$G$153,2,0),"")</f>
        <v>Plastik Sampah S</v>
      </c>
      <c r="D276" s="53">
        <v>3</v>
      </c>
      <c r="E276" s="26"/>
    </row>
    <row r="277" spans="1:5" ht="16.5" x14ac:dyDescent="0.2">
      <c r="A277" s="8"/>
      <c r="B277" s="53" t="s">
        <v>131</v>
      </c>
      <c r="C277" s="54" t="str">
        <f>IFERROR(VLOOKUP(B277,'Rekap Stock Barang'!$A$7:$G$153,2,0),"")</f>
        <v>Plastik Sampah M</v>
      </c>
      <c r="D277" s="53">
        <v>2</v>
      </c>
      <c r="E277" s="26"/>
    </row>
    <row r="278" spans="1:5" ht="16.5" x14ac:dyDescent="0.2">
      <c r="A278" s="8"/>
      <c r="B278" s="53" t="s">
        <v>132</v>
      </c>
      <c r="C278" s="54" t="str">
        <f>IFERROR(VLOOKUP(B278,'Rekap Stock Barang'!$A$7:$G$153,2,0),"")</f>
        <v>Plastik Sampah L</v>
      </c>
      <c r="D278" s="53">
        <v>2</v>
      </c>
      <c r="E278" s="26"/>
    </row>
    <row r="279" spans="1:5" ht="16.5" x14ac:dyDescent="0.2">
      <c r="A279" s="8"/>
      <c r="B279" s="53" t="s">
        <v>274</v>
      </c>
      <c r="C279" s="54" t="str">
        <f>IFERROR(VLOOKUP(B279,'Rekap Stock Barang'!$A$7:$G$153,2,0),"")</f>
        <v>Plastik Sampah XL</v>
      </c>
      <c r="D279" s="53">
        <v>2</v>
      </c>
      <c r="E279" s="26"/>
    </row>
    <row r="280" spans="1:5" ht="16.5" x14ac:dyDescent="0.2">
      <c r="A280" s="22"/>
      <c r="B280" s="55" t="s">
        <v>236</v>
      </c>
      <c r="C280" s="56" t="str">
        <f>IFERROR(VLOOKUP(B280,'Rekap Stock Barang'!$A$7:$G$153,2,0),"")</f>
        <v xml:space="preserve">Paha Gurih Manis </v>
      </c>
      <c r="D280" s="55">
        <v>7</v>
      </c>
      <c r="E280" s="26"/>
    </row>
    <row r="281" spans="1:5" ht="16.5" x14ac:dyDescent="0.2">
      <c r="A281" s="22"/>
      <c r="B281" s="55" t="s">
        <v>241</v>
      </c>
      <c r="C281" s="56" t="str">
        <f>IFERROR(VLOOKUP(B281,'Rekap Stock Barang'!$A$7:$G$153,2,0),"")</f>
        <v>Dada Gurih Manis</v>
      </c>
      <c r="D281" s="55">
        <v>4</v>
      </c>
      <c r="E281" s="26"/>
    </row>
    <row r="282" spans="1:5" ht="16.5" x14ac:dyDescent="0.2">
      <c r="A282" s="22"/>
      <c r="B282" s="55" t="s">
        <v>16</v>
      </c>
      <c r="C282" s="56" t="str">
        <f>IFERROR(VLOOKUP(B282,'Rekap Stock Barang'!$A$7:$G$153,2,0),"")</f>
        <v>Paha</v>
      </c>
      <c r="D282" s="55">
        <v>17</v>
      </c>
      <c r="E282" s="26"/>
    </row>
    <row r="283" spans="1:5" ht="16.5" x14ac:dyDescent="0.2">
      <c r="A283" s="22"/>
      <c r="B283" s="55" t="s">
        <v>19</v>
      </c>
      <c r="C283" s="56" t="str">
        <f>IFERROR(VLOOKUP(B283,'Rekap Stock Barang'!$A$7:$G$153,2,0),"")</f>
        <v>Dada</v>
      </c>
      <c r="D283" s="55">
        <v>7</v>
      </c>
      <c r="E283" s="26"/>
    </row>
    <row r="284" spans="1:5" ht="16.5" x14ac:dyDescent="0.2">
      <c r="A284" s="22"/>
      <c r="B284" s="55" t="s">
        <v>8</v>
      </c>
      <c r="C284" s="56" t="str">
        <f>IFERROR(VLOOKUP(B284,'Rekap Stock Barang'!$A$7:$G$153,2,0),"")</f>
        <v xml:space="preserve">Ayam Suwir </v>
      </c>
      <c r="D284" s="55">
        <v>22</v>
      </c>
      <c r="E284" s="26"/>
    </row>
    <row r="285" spans="1:5" ht="16.5" x14ac:dyDescent="0.2">
      <c r="A285" s="22"/>
      <c r="B285" s="55" t="s">
        <v>9</v>
      </c>
      <c r="C285" s="56" t="str">
        <f>IFERROR(VLOOKUP(B285,'Rekap Stock Barang'!$A$7:$G$153,2,0),"")</f>
        <v xml:space="preserve">Topping Kwetiau </v>
      </c>
      <c r="D285" s="55">
        <v>12</v>
      </c>
      <c r="E285" s="26"/>
    </row>
    <row r="286" spans="1:5" ht="16.5" x14ac:dyDescent="0.2">
      <c r="A286" s="22"/>
      <c r="B286" s="55" t="s">
        <v>243</v>
      </c>
      <c r="C286" s="56" t="str">
        <f>IFERROR(VLOOKUP(B286,'Rekap Stock Barang'!$A$7:$G$153,2,0),"")</f>
        <v xml:space="preserve">Daging Slice </v>
      </c>
      <c r="D286" s="55">
        <v>3</v>
      </c>
      <c r="E286" s="26"/>
    </row>
    <row r="287" spans="1:5" ht="16.5" x14ac:dyDescent="0.2">
      <c r="A287" s="22"/>
      <c r="B287" s="55" t="s">
        <v>14</v>
      </c>
      <c r="C287" s="56" t="str">
        <f>IFERROR(VLOOKUP(B287,'Rekap Stock Barang'!$A$7:$G$153,2,0),"")</f>
        <v>Ayam Jamur</v>
      </c>
      <c r="D287" s="55">
        <v>10</v>
      </c>
      <c r="E287" s="26"/>
    </row>
    <row r="288" spans="1:5" ht="16.5" x14ac:dyDescent="0.2">
      <c r="A288" s="22"/>
      <c r="B288" s="55" t="s">
        <v>20</v>
      </c>
      <c r="C288" s="56" t="str">
        <f>IFERROR(VLOOKUP(B288,'Rekap Stock Barang'!$A$7:$G$153,2,0),"")</f>
        <v>Cumi</v>
      </c>
      <c r="D288" s="55">
        <v>11</v>
      </c>
      <c r="E288" s="26"/>
    </row>
    <row r="289" spans="1:5" ht="16.5" x14ac:dyDescent="0.2">
      <c r="A289" s="22"/>
      <c r="B289" s="55" t="s">
        <v>38</v>
      </c>
      <c r="C289" s="56" t="str">
        <f>IFERROR(VLOOKUP(B289,'Rekap Stock Barang'!$A$7:$G$153,2,0),"")</f>
        <v>Daging Sambal HIjau</v>
      </c>
      <c r="D289" s="55">
        <v>4</v>
      </c>
      <c r="E289" s="26"/>
    </row>
    <row r="290" spans="1:5" ht="16.5" x14ac:dyDescent="0.2">
      <c r="A290" s="22"/>
      <c r="B290" s="55" t="s">
        <v>22</v>
      </c>
      <c r="C290" s="56" t="str">
        <f>IFERROR(VLOOKUP(B290,'Rekap Stock Barang'!$A$7:$G$153,2,0),"")</f>
        <v>Kulit</v>
      </c>
      <c r="D290" s="55">
        <v>1</v>
      </c>
      <c r="E290" s="26"/>
    </row>
    <row r="291" spans="1:5" ht="16.5" x14ac:dyDescent="0.2">
      <c r="A291" s="22"/>
      <c r="B291" s="55" t="s">
        <v>28</v>
      </c>
      <c r="C291" s="56" t="str">
        <f>IFERROR(VLOOKUP(B291,'Rekap Stock Barang'!$A$7:$G$153,2,0),"")</f>
        <v xml:space="preserve">Topping Nasi Gila </v>
      </c>
      <c r="D291" s="55">
        <v>1</v>
      </c>
      <c r="E291" s="26"/>
    </row>
    <row r="292" spans="1:5" ht="16.5" x14ac:dyDescent="0.2">
      <c r="A292" s="22"/>
      <c r="B292" s="55" t="s">
        <v>24</v>
      </c>
      <c r="C292" s="56" t="str">
        <f>IFERROR(VLOOKUP(B292,'Rekap Stock Barang'!$A$7:$G$153,2,0),"")</f>
        <v xml:space="preserve">Lidah </v>
      </c>
      <c r="D292" s="55">
        <v>3</v>
      </c>
      <c r="E292" s="26"/>
    </row>
    <row r="293" spans="1:5" ht="16.5" x14ac:dyDescent="0.2">
      <c r="A293" s="22"/>
      <c r="B293" s="55" t="s">
        <v>288</v>
      </c>
      <c r="C293" s="56" t="str">
        <f>IFERROR(VLOOKUP(B293,'Rekap Stock Barang'!$A$7:$G$153,2,0),"")</f>
        <v>Pete</v>
      </c>
      <c r="D293" s="55">
        <v>0</v>
      </c>
      <c r="E293" s="26"/>
    </row>
    <row r="294" spans="1:5" ht="16.5" x14ac:dyDescent="0.2">
      <c r="A294" s="22"/>
      <c r="B294" s="55" t="s">
        <v>275</v>
      </c>
      <c r="C294" s="56" t="str">
        <f>IFERROR(VLOOKUP(B294,'Rekap Stock Barang'!$A$7:$G$153,2,0),"")</f>
        <v xml:space="preserve">Teri Pete </v>
      </c>
      <c r="D294" s="55">
        <v>2</v>
      </c>
      <c r="E294" s="26"/>
    </row>
    <row r="295" spans="1:5" ht="16.5" x14ac:dyDescent="0.2">
      <c r="A295" s="22"/>
      <c r="B295" s="55" t="s">
        <v>10</v>
      </c>
      <c r="C295" s="56" t="str">
        <f>IFERROR(VLOOKUP(B295,'Rekap Stock Barang'!$A$7:$G$153,2,0),"")</f>
        <v>Topping Mbakmoy</v>
      </c>
      <c r="D295" s="55">
        <v>2</v>
      </c>
      <c r="E295" s="26"/>
    </row>
    <row r="296" spans="1:5" ht="16.5" x14ac:dyDescent="0.2">
      <c r="A296" s="22"/>
      <c r="B296" s="55" t="s">
        <v>276</v>
      </c>
      <c r="C296" s="56" t="str">
        <f>IFERROR(VLOOKUP(B296,'Rekap Stock Barang'!$A$7:$G$153,2,0),"")</f>
        <v>Sambal Baby Cumi</v>
      </c>
      <c r="D296" s="55">
        <v>17</v>
      </c>
      <c r="E296" s="26"/>
    </row>
    <row r="297" spans="1:5" ht="16.5" x14ac:dyDescent="0.2">
      <c r="A297" s="22"/>
      <c r="B297" s="57" t="s">
        <v>31</v>
      </c>
      <c r="C297" s="58" t="str">
        <f>IFERROR(VLOOKUP(B297,'Rekap Stock Barang'!$A$7:$G$153,2,0),"")</f>
        <v>Bagor</v>
      </c>
      <c r="D297" s="57">
        <v>15</v>
      </c>
      <c r="E297" s="26"/>
    </row>
    <row r="298" spans="1:5" ht="16.5" x14ac:dyDescent="0.2">
      <c r="A298" s="22"/>
      <c r="B298" s="57" t="s">
        <v>178</v>
      </c>
      <c r="C298" s="58" t="str">
        <f>IFERROR(VLOOKUP(B298,'Rekap Stock Barang'!$A$7:$G$153,2,0),"")</f>
        <v xml:space="preserve">Cireng </v>
      </c>
      <c r="D298" s="57">
        <v>2</v>
      </c>
      <c r="E298" s="26"/>
    </row>
    <row r="299" spans="1:5" ht="16.5" x14ac:dyDescent="0.2">
      <c r="A299" s="22"/>
      <c r="B299" s="57" t="s">
        <v>238</v>
      </c>
      <c r="C299" s="58" t="str">
        <f>IFERROR(VLOOKUP(B299,'Rekap Stock Barang'!$A$7:$G$153,2,0),"")</f>
        <v>Sayap Goreng</v>
      </c>
      <c r="D299" s="57">
        <v>1</v>
      </c>
      <c r="E299" s="26"/>
    </row>
    <row r="300" spans="1:5" ht="16.5" x14ac:dyDescent="0.2">
      <c r="A300" s="22"/>
      <c r="B300" s="59" t="s">
        <v>175</v>
      </c>
      <c r="C300" s="60" t="str">
        <f>IFERROR(VLOOKUP(B300,'Rekap Stock Barang'!$A$7:$G$153,2,0),"")</f>
        <v>Mineral</v>
      </c>
      <c r="D300" s="59">
        <v>36</v>
      </c>
      <c r="E300" s="26"/>
    </row>
    <row r="301" spans="1:5" ht="16.5" x14ac:dyDescent="0.2">
      <c r="A301" s="22"/>
      <c r="B301" s="59" t="s">
        <v>170</v>
      </c>
      <c r="C301" s="60" t="str">
        <f>IFERROR(VLOOKUP(B301,'Rekap Stock Barang'!$A$7:$G$153,2,0),"")</f>
        <v>Air Tahu</v>
      </c>
      <c r="D301" s="59">
        <v>1</v>
      </c>
      <c r="E301" s="26"/>
    </row>
    <row r="302" spans="1:5" ht="16.5" x14ac:dyDescent="0.2">
      <c r="A302" s="22"/>
      <c r="B302" s="59" t="s">
        <v>229</v>
      </c>
      <c r="C302" s="60" t="str">
        <f>IFERROR(VLOOKUP(B302,'Rekap Stock Barang'!$A$7:$G$153,2,0),"")</f>
        <v xml:space="preserve">Manggo Juice </v>
      </c>
      <c r="D302" s="59">
        <v>1</v>
      </c>
      <c r="E302" s="26"/>
    </row>
    <row r="303" spans="1:5" ht="16.5" x14ac:dyDescent="0.2">
      <c r="A303" s="22"/>
      <c r="B303" s="59" t="s">
        <v>226</v>
      </c>
      <c r="C303" s="60" t="str">
        <f>IFERROR(VLOOKUP(B303,'Rekap Stock Barang'!$A$7:$G$153,2,0),"")</f>
        <v>Mix Berries</v>
      </c>
      <c r="D303" s="59">
        <v>1</v>
      </c>
      <c r="E303" s="26"/>
    </row>
    <row r="304" spans="1:5" ht="16.5" x14ac:dyDescent="0.2">
      <c r="A304" s="69"/>
      <c r="B304" s="70" t="s">
        <v>202</v>
      </c>
      <c r="C304" s="60" t="str">
        <f>IFERROR(VLOOKUP(B304,'Rekap Stock Barang'!$A$7:$G$153,2,0),"")</f>
        <v xml:space="preserve">Zoda Water </v>
      </c>
      <c r="D304" s="70">
        <v>0</v>
      </c>
      <c r="E304" s="26"/>
    </row>
    <row r="305" spans="1:5" ht="17.25" thickBot="1" x14ac:dyDescent="0.25">
      <c r="A305" s="61"/>
      <c r="B305" s="62" t="s">
        <v>223</v>
      </c>
      <c r="C305" s="63" t="str">
        <f>IFERROR(VLOOKUP(B305,'Rekap Stock Barang'!$A$7:$G$153,2,0),"")</f>
        <v>Sirsak Juice</v>
      </c>
      <c r="D305" s="62">
        <v>4</v>
      </c>
      <c r="E305" s="26"/>
    </row>
    <row r="306" spans="1:5" ht="16.5" x14ac:dyDescent="0.2">
      <c r="A306" s="21">
        <v>46272</v>
      </c>
      <c r="B306" s="22" t="s">
        <v>270</v>
      </c>
      <c r="C306" s="40" t="str">
        <f>IFERROR(VLOOKUP(B306,'Rekap Stock Barang'!$A$7:$G$153,2,0),"")</f>
        <v>Tissue Toilet</v>
      </c>
      <c r="D306" s="22">
        <v>1</v>
      </c>
      <c r="E306" s="26"/>
    </row>
    <row r="307" spans="1:5" ht="16.5" x14ac:dyDescent="0.2">
      <c r="A307" s="22"/>
      <c r="B307" s="22" t="s">
        <v>188</v>
      </c>
      <c r="C307" s="40" t="str">
        <f>IFERROR(VLOOKUP(B307,'Rekap Stock Barang'!$A$7:$G$153,2,0),"")</f>
        <v xml:space="preserve">Mie Urai </v>
      </c>
      <c r="D307" s="22">
        <v>1</v>
      </c>
      <c r="E307" s="26"/>
    </row>
    <row r="308" spans="1:5" ht="16.5" x14ac:dyDescent="0.2">
      <c r="A308" s="22"/>
      <c r="B308" s="22" t="s">
        <v>271</v>
      </c>
      <c r="C308" s="40" t="str">
        <f>IFERROR(VLOOKUP(B308,'Rekap Stock Barang'!$A$7:$G$153,2,0),"")</f>
        <v>Plastik Soup XS</v>
      </c>
      <c r="D308" s="22">
        <v>1</v>
      </c>
      <c r="E308" s="26"/>
    </row>
    <row r="309" spans="1:5" ht="16.5" x14ac:dyDescent="0.2">
      <c r="A309" s="22"/>
      <c r="B309" s="22" t="s">
        <v>307</v>
      </c>
      <c r="C309" s="40" t="str">
        <f>IFERROR(VLOOKUP(B309,'Rekap Stock Barang'!$A$7:$G$153,2,0),"")</f>
        <v>Plastik Sampah S</v>
      </c>
      <c r="D309" s="22">
        <v>1</v>
      </c>
      <c r="E309" s="26"/>
    </row>
    <row r="310" spans="1:5" ht="16.5" x14ac:dyDescent="0.2">
      <c r="A310" s="22"/>
      <c r="B310" s="22" t="s">
        <v>217</v>
      </c>
      <c r="C310" s="40" t="str">
        <f>IFERROR(VLOOKUP(B310,'Rekap Stock Barang'!$A$7:$G$153,2,0),"")</f>
        <v>Thermal Paper</v>
      </c>
      <c r="D310" s="22">
        <v>3</v>
      </c>
      <c r="E310" s="26"/>
    </row>
    <row r="311" spans="1:5" ht="16.5" x14ac:dyDescent="0.2">
      <c r="A311" s="22"/>
      <c r="B311" s="22" t="s">
        <v>158</v>
      </c>
      <c r="C311" s="40" t="str">
        <f>IFERROR(VLOOKUP(B311,'Rekap Stock Barang'!$A$7:$G$153,2,0),"")</f>
        <v>Take Away Box S</v>
      </c>
      <c r="D311" s="22">
        <v>1</v>
      </c>
      <c r="E311" s="26"/>
    </row>
    <row r="312" spans="1:5" ht="16.5" x14ac:dyDescent="0.2">
      <c r="A312" s="22"/>
      <c r="B312" s="22" t="s">
        <v>272</v>
      </c>
      <c r="C312" s="40" t="str">
        <f>IFERROR(VLOOKUP(B312,'Rekap Stock Barang'!$A$7:$G$153,2,0),"")</f>
        <v>Tepung Telur</v>
      </c>
      <c r="D312" s="22">
        <v>2</v>
      </c>
      <c r="E312" s="26"/>
    </row>
    <row r="313" spans="1:5" ht="16.5" x14ac:dyDescent="0.2">
      <c r="A313" s="22"/>
      <c r="B313" s="22" t="s">
        <v>294</v>
      </c>
      <c r="C313" s="40" t="str">
        <f>IFERROR(VLOOKUP(B313,'Rekap Stock Barang'!$A$7:$G$153,2,0),"")</f>
        <v>Gorengan Mbakmoy</v>
      </c>
      <c r="D313" s="22">
        <v>1</v>
      </c>
      <c r="E313" s="26"/>
    </row>
    <row r="314" spans="1:5" ht="16.5" x14ac:dyDescent="0.2">
      <c r="A314" s="22"/>
      <c r="B314" s="22" t="s">
        <v>308</v>
      </c>
      <c r="C314" s="40" t="str">
        <f>IFERROR(VLOOKUP(B314,'Rekap Stock Barang'!$A$7:$G$153,2,0),"")</f>
        <v xml:space="preserve">Bumbu Lidah </v>
      </c>
      <c r="D314" s="22">
        <v>2</v>
      </c>
      <c r="E314" s="26"/>
    </row>
    <row r="315" spans="1:5" ht="16.5" x14ac:dyDescent="0.2">
      <c r="A315" s="22"/>
      <c r="B315" s="22" t="s">
        <v>46</v>
      </c>
      <c r="C315" s="40" t="str">
        <f>IFERROR(VLOOKUP(B315,'Rekap Stock Barang'!$A$7:$G$153,2,0),"")</f>
        <v>Sambal Petis</v>
      </c>
      <c r="D315" s="22">
        <v>1</v>
      </c>
      <c r="E315" s="26"/>
    </row>
    <row r="316" spans="1:5" ht="16.5" x14ac:dyDescent="0.2">
      <c r="A316" s="22"/>
      <c r="B316" s="22" t="s">
        <v>148</v>
      </c>
      <c r="C316" s="40" t="str">
        <f>IFERROR(VLOOKUP(B316,'Rekap Stock Barang'!$A$7:$G$153,2,0),"")</f>
        <v>Tissue Meja</v>
      </c>
      <c r="D316" s="22">
        <v>1</v>
      </c>
      <c r="E316" s="26"/>
    </row>
    <row r="317" spans="1:5" ht="16.5" x14ac:dyDescent="0.2">
      <c r="A317" s="22"/>
      <c r="B317" s="22" t="s">
        <v>309</v>
      </c>
      <c r="C317" s="40" t="str">
        <f>IFERROR(VLOOKUP(B317,'Rekap Stock Barang'!$A$7:$G$153,2,0),"")</f>
        <v xml:space="preserve">Ekonomi </v>
      </c>
      <c r="D317" s="22">
        <v>2</v>
      </c>
      <c r="E317" s="26"/>
    </row>
    <row r="318" spans="1:5" ht="16.5" x14ac:dyDescent="0.2">
      <c r="A318" s="22"/>
      <c r="B318" s="22" t="s">
        <v>204</v>
      </c>
      <c r="C318" s="40" t="str">
        <f>IFERROR(VLOOKUP(B318,'Rekap Stock Barang'!$A$7:$G$153,2,0),"")</f>
        <v xml:space="preserve">Gula </v>
      </c>
      <c r="D318" s="22">
        <v>1</v>
      </c>
      <c r="E318" s="26"/>
    </row>
    <row r="319" spans="1:5" ht="16.5" x14ac:dyDescent="0.2">
      <c r="A319" s="22"/>
      <c r="B319" s="22" t="s">
        <v>213</v>
      </c>
      <c r="C319" s="40" t="str">
        <f>IFERROR(VLOOKUP(B319,'Rekap Stock Barang'!$A$7:$G$153,2,0),"")</f>
        <v xml:space="preserve">Nurtijel Plain </v>
      </c>
      <c r="D319" s="22">
        <v>2</v>
      </c>
      <c r="E319" s="26"/>
    </row>
    <row r="320" spans="1:5" ht="16.5" x14ac:dyDescent="0.2">
      <c r="A320" s="22"/>
      <c r="B320" s="22" t="s">
        <v>190</v>
      </c>
      <c r="C320" s="40" t="str">
        <f>IFERROR(VLOOKUP(B320,'Rekap Stock Barang'!$A$7:$G$153,2,0),"")</f>
        <v>Sun Cara 200Ml</v>
      </c>
      <c r="D320" s="22">
        <v>1</v>
      </c>
      <c r="E320" s="26"/>
    </row>
    <row r="321" spans="1:5" ht="16.5" x14ac:dyDescent="0.2">
      <c r="A321" s="8"/>
      <c r="B321" s="53" t="s">
        <v>130</v>
      </c>
      <c r="C321" s="54" t="str">
        <f>IFERROR(VLOOKUP(B321,'Rekap Stock Barang'!$A$7:$G$153,2,0),"")</f>
        <v>Plastik Sampah S</v>
      </c>
      <c r="D321" s="53">
        <v>3</v>
      </c>
      <c r="E321" s="26"/>
    </row>
    <row r="322" spans="1:5" ht="16.5" x14ac:dyDescent="0.2">
      <c r="A322" s="8"/>
      <c r="B322" s="53" t="s">
        <v>131</v>
      </c>
      <c r="C322" s="54" t="str">
        <f>IFERROR(VLOOKUP(B322,'Rekap Stock Barang'!$A$7:$G$153,2,0),"")</f>
        <v>Plastik Sampah M</v>
      </c>
      <c r="D322" s="53">
        <v>2</v>
      </c>
      <c r="E322" s="26"/>
    </row>
    <row r="323" spans="1:5" ht="16.5" x14ac:dyDescent="0.2">
      <c r="A323" s="8"/>
      <c r="B323" s="53" t="s">
        <v>132</v>
      </c>
      <c r="C323" s="54" t="str">
        <f>IFERROR(VLOOKUP(B323,'Rekap Stock Barang'!$A$7:$G$153,2,0),"")</f>
        <v>Plastik Sampah L</v>
      </c>
      <c r="D323" s="53">
        <v>2</v>
      </c>
      <c r="E323" s="26"/>
    </row>
    <row r="324" spans="1:5" ht="16.5" x14ac:dyDescent="0.2">
      <c r="A324" s="8"/>
      <c r="B324" s="53" t="s">
        <v>274</v>
      </c>
      <c r="C324" s="54" t="str">
        <f>IFERROR(VLOOKUP(B324,'Rekap Stock Barang'!$A$7:$G$153,2,0),"")</f>
        <v>Plastik Sampah XL</v>
      </c>
      <c r="D324" s="53">
        <v>2</v>
      </c>
      <c r="E324" s="26"/>
    </row>
    <row r="325" spans="1:5" ht="16.5" x14ac:dyDescent="0.2">
      <c r="A325" s="22"/>
      <c r="B325" s="55" t="s">
        <v>236</v>
      </c>
      <c r="C325" s="56" t="str">
        <f>IFERROR(VLOOKUP(B325,'Rekap Stock Barang'!$A$7:$G$153,2,0),"")</f>
        <v xml:space="preserve">Paha Gurih Manis </v>
      </c>
      <c r="D325" s="55">
        <v>0</v>
      </c>
      <c r="E325" s="26"/>
    </row>
    <row r="326" spans="1:5" ht="16.5" x14ac:dyDescent="0.2">
      <c r="A326" s="22"/>
      <c r="B326" s="55" t="s">
        <v>241</v>
      </c>
      <c r="C326" s="56" t="str">
        <f>IFERROR(VLOOKUP(B326,'Rekap Stock Barang'!$A$7:$G$153,2,0),"")</f>
        <v>Dada Gurih Manis</v>
      </c>
      <c r="D326" s="55">
        <v>2</v>
      </c>
      <c r="E326" s="26"/>
    </row>
    <row r="327" spans="1:5" ht="16.5" x14ac:dyDescent="0.2">
      <c r="A327" s="22"/>
      <c r="B327" s="55" t="s">
        <v>16</v>
      </c>
      <c r="C327" s="56" t="str">
        <f>IFERROR(VLOOKUP(B327,'Rekap Stock Barang'!$A$7:$G$153,2,0),"")</f>
        <v>Paha</v>
      </c>
      <c r="D327" s="55">
        <v>9</v>
      </c>
      <c r="E327" s="26"/>
    </row>
    <row r="328" spans="1:5" ht="16.5" x14ac:dyDescent="0.2">
      <c r="A328" s="22"/>
      <c r="B328" s="55" t="s">
        <v>19</v>
      </c>
      <c r="C328" s="56" t="str">
        <f>IFERROR(VLOOKUP(B328,'Rekap Stock Barang'!$A$7:$G$153,2,0),"")</f>
        <v>Dada</v>
      </c>
      <c r="D328" s="55">
        <v>8</v>
      </c>
      <c r="E328" s="26"/>
    </row>
    <row r="329" spans="1:5" ht="16.5" x14ac:dyDescent="0.2">
      <c r="A329" s="22"/>
      <c r="B329" s="55" t="s">
        <v>8</v>
      </c>
      <c r="C329" s="56" t="str">
        <f>IFERROR(VLOOKUP(B329,'Rekap Stock Barang'!$A$7:$G$153,2,0),"")</f>
        <v xml:space="preserve">Ayam Suwir </v>
      </c>
      <c r="D329" s="55">
        <v>10</v>
      </c>
      <c r="E329" s="26"/>
    </row>
    <row r="330" spans="1:5" ht="16.5" x14ac:dyDescent="0.2">
      <c r="A330" s="22"/>
      <c r="B330" s="55" t="s">
        <v>9</v>
      </c>
      <c r="C330" s="56" t="str">
        <f>IFERROR(VLOOKUP(B330,'Rekap Stock Barang'!$A$7:$G$153,2,0),"")</f>
        <v xml:space="preserve">Topping Kwetiau </v>
      </c>
      <c r="D330" s="55">
        <v>15</v>
      </c>
      <c r="E330" s="26"/>
    </row>
    <row r="331" spans="1:5" ht="16.5" x14ac:dyDescent="0.2">
      <c r="A331" s="22"/>
      <c r="B331" s="55" t="s">
        <v>243</v>
      </c>
      <c r="C331" s="56" t="str">
        <f>IFERROR(VLOOKUP(B331,'Rekap Stock Barang'!$A$7:$G$153,2,0),"")</f>
        <v xml:space="preserve">Daging Slice </v>
      </c>
      <c r="D331" s="55">
        <v>2</v>
      </c>
      <c r="E331" s="26"/>
    </row>
    <row r="332" spans="1:5" ht="16.5" x14ac:dyDescent="0.2">
      <c r="A332" s="22"/>
      <c r="B332" s="55" t="s">
        <v>14</v>
      </c>
      <c r="C332" s="56" t="str">
        <f>IFERROR(VLOOKUP(B332,'Rekap Stock Barang'!$A$7:$G$153,2,0),"")</f>
        <v>Ayam Jamur</v>
      </c>
      <c r="D332" s="55">
        <v>6</v>
      </c>
      <c r="E332" s="26"/>
    </row>
    <row r="333" spans="1:5" ht="16.5" x14ac:dyDescent="0.2">
      <c r="A333" s="22"/>
      <c r="B333" s="55" t="s">
        <v>20</v>
      </c>
      <c r="C333" s="56" t="str">
        <f>IFERROR(VLOOKUP(B333,'Rekap Stock Barang'!$A$7:$G$153,2,0),"")</f>
        <v>Cumi</v>
      </c>
      <c r="D333" s="55">
        <v>6</v>
      </c>
      <c r="E333" s="26"/>
    </row>
    <row r="334" spans="1:5" ht="16.5" x14ac:dyDescent="0.2">
      <c r="A334" s="22"/>
      <c r="B334" s="55" t="s">
        <v>38</v>
      </c>
      <c r="C334" s="56" t="str">
        <f>IFERROR(VLOOKUP(B334,'Rekap Stock Barang'!$A$7:$G$153,2,0),"")</f>
        <v>Daging Sambal HIjau</v>
      </c>
      <c r="D334" s="55">
        <v>4</v>
      </c>
      <c r="E334" s="26"/>
    </row>
    <row r="335" spans="1:5" ht="16.5" x14ac:dyDescent="0.2">
      <c r="A335" s="22"/>
      <c r="B335" s="55" t="s">
        <v>22</v>
      </c>
      <c r="C335" s="56" t="str">
        <f>IFERROR(VLOOKUP(B335,'Rekap Stock Barang'!$A$7:$G$153,2,0),"")</f>
        <v>Kulit</v>
      </c>
      <c r="D335" s="55">
        <v>2</v>
      </c>
      <c r="E335" s="26"/>
    </row>
    <row r="336" spans="1:5" ht="16.5" x14ac:dyDescent="0.2">
      <c r="A336" s="22"/>
      <c r="B336" s="55" t="s">
        <v>28</v>
      </c>
      <c r="C336" s="56" t="str">
        <f>IFERROR(VLOOKUP(B336,'Rekap Stock Barang'!$A$7:$G$153,2,0),"")</f>
        <v xml:space="preserve">Topping Nasi Gila </v>
      </c>
      <c r="D336" s="55">
        <v>0</v>
      </c>
      <c r="E336" s="26"/>
    </row>
    <row r="337" spans="1:5" ht="16.5" x14ac:dyDescent="0.2">
      <c r="A337" s="22"/>
      <c r="B337" s="55" t="s">
        <v>24</v>
      </c>
      <c r="C337" s="56" t="str">
        <f>IFERROR(VLOOKUP(B337,'Rekap Stock Barang'!$A$7:$G$153,2,0),"")</f>
        <v xml:space="preserve">Lidah </v>
      </c>
      <c r="D337" s="55">
        <v>12</v>
      </c>
      <c r="E337" s="26"/>
    </row>
    <row r="338" spans="1:5" ht="16.5" x14ac:dyDescent="0.2">
      <c r="A338" s="22"/>
      <c r="B338" s="55" t="s">
        <v>288</v>
      </c>
      <c r="C338" s="56" t="str">
        <f>IFERROR(VLOOKUP(B338,'Rekap Stock Barang'!$A$7:$G$153,2,0),"")</f>
        <v>Pete</v>
      </c>
      <c r="D338" s="55">
        <v>0</v>
      </c>
      <c r="E338" s="26"/>
    </row>
    <row r="339" spans="1:5" ht="16.5" x14ac:dyDescent="0.2">
      <c r="A339" s="22"/>
      <c r="B339" s="55" t="s">
        <v>275</v>
      </c>
      <c r="C339" s="56" t="str">
        <f>IFERROR(VLOOKUP(B339,'Rekap Stock Barang'!$A$7:$G$153,2,0),"")</f>
        <v xml:space="preserve">Teri Pete </v>
      </c>
      <c r="D339" s="55">
        <v>1</v>
      </c>
      <c r="E339" s="26"/>
    </row>
    <row r="340" spans="1:5" ht="16.5" x14ac:dyDescent="0.2">
      <c r="A340" s="22"/>
      <c r="B340" s="55" t="s">
        <v>10</v>
      </c>
      <c r="C340" s="56" t="str">
        <f>IFERROR(VLOOKUP(B340,'Rekap Stock Barang'!$A$7:$G$153,2,0),"")</f>
        <v>Topping Mbakmoy</v>
      </c>
      <c r="D340" s="55">
        <v>2</v>
      </c>
      <c r="E340" s="26"/>
    </row>
    <row r="341" spans="1:5" ht="16.5" x14ac:dyDescent="0.2">
      <c r="A341" s="22"/>
      <c r="B341" s="55" t="s">
        <v>276</v>
      </c>
      <c r="C341" s="56" t="str">
        <f>IFERROR(VLOOKUP(B341,'Rekap Stock Barang'!$A$7:$G$153,2,0),"")</f>
        <v>Sambal Baby Cumi</v>
      </c>
      <c r="D341" s="55">
        <v>13</v>
      </c>
      <c r="E341" s="26"/>
    </row>
    <row r="342" spans="1:5" ht="16.5" x14ac:dyDescent="0.2">
      <c r="A342" s="22"/>
      <c r="B342" s="57" t="s">
        <v>31</v>
      </c>
      <c r="C342" s="58" t="str">
        <f>IFERROR(VLOOKUP(B342,'Rekap Stock Barang'!$A$7:$G$153,2,0),"")</f>
        <v>Bagor</v>
      </c>
      <c r="D342" s="57">
        <v>4</v>
      </c>
      <c r="E342" s="26"/>
    </row>
    <row r="343" spans="1:5" ht="16.5" x14ac:dyDescent="0.2">
      <c r="A343" s="22"/>
      <c r="B343" s="57" t="s">
        <v>178</v>
      </c>
      <c r="C343" s="58" t="str">
        <f>IFERROR(VLOOKUP(B343,'Rekap Stock Barang'!$A$7:$G$153,2,0),"")</f>
        <v xml:space="preserve">Cireng </v>
      </c>
      <c r="D343" s="57">
        <v>1</v>
      </c>
      <c r="E343" s="26"/>
    </row>
    <row r="344" spans="1:5" ht="16.5" x14ac:dyDescent="0.2">
      <c r="A344" s="22"/>
      <c r="B344" s="57" t="s">
        <v>238</v>
      </c>
      <c r="C344" s="58" t="str">
        <f>IFERROR(VLOOKUP(B344,'Rekap Stock Barang'!$A$7:$G$153,2,0),"")</f>
        <v>Sayap Goreng</v>
      </c>
      <c r="D344" s="57">
        <v>4</v>
      </c>
      <c r="E344" s="26"/>
    </row>
    <row r="345" spans="1:5" ht="16.5" x14ac:dyDescent="0.2">
      <c r="A345" s="22"/>
      <c r="B345" s="59" t="s">
        <v>175</v>
      </c>
      <c r="C345" s="60" t="str">
        <f>IFERROR(VLOOKUP(B345,'Rekap Stock Barang'!$A$7:$G$153,2,0),"")</f>
        <v>Mineral</v>
      </c>
      <c r="D345" s="59">
        <v>35</v>
      </c>
      <c r="E345" s="26"/>
    </row>
    <row r="346" spans="1:5" ht="16.5" x14ac:dyDescent="0.2">
      <c r="A346" s="22"/>
      <c r="B346" s="59" t="s">
        <v>170</v>
      </c>
      <c r="C346" s="60" t="str">
        <f>IFERROR(VLOOKUP(B346,'Rekap Stock Barang'!$A$7:$G$153,2,0),"")</f>
        <v>Air Tahu</v>
      </c>
      <c r="D346" s="59">
        <v>2</v>
      </c>
      <c r="E346" s="26"/>
    </row>
    <row r="347" spans="1:5" ht="16.5" x14ac:dyDescent="0.2">
      <c r="A347" s="22"/>
      <c r="B347" s="59" t="s">
        <v>229</v>
      </c>
      <c r="C347" s="60" t="str">
        <f>IFERROR(VLOOKUP(B347,'Rekap Stock Barang'!$A$7:$G$153,2,0),"")</f>
        <v xml:space="preserve">Manggo Juice </v>
      </c>
      <c r="D347" s="59">
        <v>1</v>
      </c>
      <c r="E347" s="26"/>
    </row>
    <row r="348" spans="1:5" ht="16.5" x14ac:dyDescent="0.2">
      <c r="A348" s="22"/>
      <c r="B348" s="59" t="s">
        <v>226</v>
      </c>
      <c r="C348" s="60" t="str">
        <f>IFERROR(VLOOKUP(B348,'Rekap Stock Barang'!$A$7:$G$153,2,0),"")</f>
        <v>Mix Berries</v>
      </c>
      <c r="D348" s="59">
        <v>2</v>
      </c>
      <c r="E348" s="26"/>
    </row>
    <row r="349" spans="1:5" ht="16.5" x14ac:dyDescent="0.2">
      <c r="A349" s="69"/>
      <c r="B349" s="70" t="s">
        <v>202</v>
      </c>
      <c r="C349" s="60" t="str">
        <f>IFERROR(VLOOKUP(B349,'Rekap Stock Barang'!$A$7:$G$153,2,0),"")</f>
        <v xml:space="preserve">Zoda Water </v>
      </c>
      <c r="D349" s="70">
        <v>0</v>
      </c>
      <c r="E349" s="26"/>
    </row>
    <row r="350" spans="1:5" ht="17.25" thickBot="1" x14ac:dyDescent="0.25">
      <c r="A350" s="61"/>
      <c r="B350" s="62" t="s">
        <v>223</v>
      </c>
      <c r="C350" s="63" t="str">
        <f>IFERROR(VLOOKUP(B350,'Rekap Stock Barang'!$A$7:$G$153,2,0),"")</f>
        <v>Sirsak Juice</v>
      </c>
      <c r="D350" s="62">
        <v>3</v>
      </c>
      <c r="E350" s="26"/>
    </row>
    <row r="351" spans="1:5" ht="16.5" x14ac:dyDescent="0.2">
      <c r="A351" s="21">
        <v>46273</v>
      </c>
      <c r="B351" s="22" t="s">
        <v>281</v>
      </c>
      <c r="C351" s="40" t="str">
        <f>IFERROR(VLOOKUP(B351,'Rekap Stock Barang'!$A$7:$G$153,2,0),"")</f>
        <v>Diamond Milk</v>
      </c>
      <c r="D351" s="22">
        <v>1</v>
      </c>
      <c r="E351" s="26"/>
    </row>
    <row r="352" spans="1:5" ht="16.5" x14ac:dyDescent="0.2">
      <c r="A352" s="22"/>
      <c r="B352" s="22" t="s">
        <v>293</v>
      </c>
      <c r="C352" s="40" t="str">
        <f>IFERROR(VLOOKUP(B352,'Rekap Stock Barang'!$A$7:$G$153,2,0),"")</f>
        <v>Susu Kental Manis Carnation</v>
      </c>
      <c r="D352" s="22">
        <v>1</v>
      </c>
      <c r="E352" s="26"/>
    </row>
    <row r="353" spans="1:5" ht="16.5" x14ac:dyDescent="0.2">
      <c r="A353" s="22"/>
      <c r="B353" s="22" t="s">
        <v>189</v>
      </c>
      <c r="C353" s="40" t="str">
        <f>IFERROR(VLOOKUP(B353,'Rekap Stock Barang'!$A$7:$G$153,2,0),"")</f>
        <v xml:space="preserve">Susu Evaporasi </v>
      </c>
      <c r="D353" s="22">
        <v>1</v>
      </c>
      <c r="E353" s="26"/>
    </row>
    <row r="354" spans="1:5" ht="16.5" x14ac:dyDescent="0.2">
      <c r="A354" s="22"/>
      <c r="B354" s="22" t="s">
        <v>190</v>
      </c>
      <c r="C354" s="40" t="str">
        <f>IFERROR(VLOOKUP(B354,'Rekap Stock Barang'!$A$7:$G$153,2,0),"")</f>
        <v>Sun Cara 200Ml</v>
      </c>
      <c r="D354" s="22">
        <v>1</v>
      </c>
      <c r="E354" s="26"/>
    </row>
    <row r="355" spans="1:5" ht="16.5" x14ac:dyDescent="0.2">
      <c r="A355" s="22"/>
      <c r="B355" s="22" t="s">
        <v>210</v>
      </c>
      <c r="C355" s="40" t="str">
        <f>IFERROR(VLOOKUP(B355,'Rekap Stock Barang'!$A$7:$G$153,2,0),"")</f>
        <v>Nata Decoco</v>
      </c>
      <c r="D355" s="22">
        <v>1</v>
      </c>
      <c r="E355" s="26"/>
    </row>
    <row r="356" spans="1:5" ht="16.5" x14ac:dyDescent="0.2">
      <c r="A356" s="22"/>
      <c r="B356" s="22" t="s">
        <v>280</v>
      </c>
      <c r="C356" s="40" t="str">
        <f>IFERROR(VLOOKUP(B356,'Rekap Stock Barang'!$A$7:$G$153,2,0),"")</f>
        <v xml:space="preserve">Bumbu Racik </v>
      </c>
      <c r="D356" s="22">
        <v>4</v>
      </c>
      <c r="E356" s="26"/>
    </row>
    <row r="357" spans="1:5" ht="16.5" x14ac:dyDescent="0.2">
      <c r="A357" s="22"/>
      <c r="B357" s="22" t="s">
        <v>201</v>
      </c>
      <c r="C357" s="40" t="str">
        <f>IFERROR(VLOOKUP(B357,'Rekap Stock Barang'!$A$7:$G$153,2,0),"")</f>
        <v xml:space="preserve">Soda Polaris </v>
      </c>
      <c r="D357" s="22">
        <v>2</v>
      </c>
      <c r="E357" s="26"/>
    </row>
    <row r="358" spans="1:5" ht="16.5" x14ac:dyDescent="0.2">
      <c r="A358" s="22"/>
      <c r="B358" s="22" t="s">
        <v>272</v>
      </c>
      <c r="C358" s="40" t="str">
        <f>IFERROR(VLOOKUP(B358,'Rekap Stock Barang'!$A$7:$G$153,2,0),"")</f>
        <v>Tepung Telur</v>
      </c>
      <c r="D358" s="22">
        <v>3</v>
      </c>
      <c r="E358" s="26"/>
    </row>
    <row r="359" spans="1:5" ht="16.5" x14ac:dyDescent="0.2">
      <c r="A359" s="22"/>
      <c r="B359" s="22" t="s">
        <v>270</v>
      </c>
      <c r="C359" s="40" t="str">
        <f>IFERROR(VLOOKUP(B359,'Rekap Stock Barang'!$A$7:$G$153,2,0),"")</f>
        <v>Tissue Toilet</v>
      </c>
      <c r="D359" s="22">
        <v>2</v>
      </c>
      <c r="E359" s="26"/>
    </row>
    <row r="360" spans="1:5" ht="16.5" x14ac:dyDescent="0.2">
      <c r="A360" s="22"/>
      <c r="B360" s="22" t="s">
        <v>164</v>
      </c>
      <c r="C360" s="40" t="str">
        <f>IFERROR(VLOOKUP(B360,'Rekap Stock Barang'!$A$7:$G$153,2,0),"")</f>
        <v xml:space="preserve">Ekonomi </v>
      </c>
      <c r="D360" s="22">
        <v>3</v>
      </c>
      <c r="E360" s="26"/>
    </row>
    <row r="361" spans="1:5" ht="16.5" x14ac:dyDescent="0.2">
      <c r="A361" s="22"/>
      <c r="B361" s="22" t="s">
        <v>273</v>
      </c>
      <c r="C361" s="40" t="str">
        <f>IFERROR(VLOOKUP(B361,'Rekap Stock Barang'!$A$7:$G$153,2,0),"")</f>
        <v>Sambal Bawang</v>
      </c>
      <c r="D361" s="22">
        <v>1</v>
      </c>
      <c r="E361" s="26"/>
    </row>
    <row r="362" spans="1:5" ht="16.5" x14ac:dyDescent="0.2">
      <c r="A362" s="22"/>
      <c r="B362" s="22" t="s">
        <v>292</v>
      </c>
      <c r="C362" s="40" t="str">
        <f>IFERROR(VLOOKUP(B362,'Rekap Stock Barang'!$A$7:$G$153,2,0),"")</f>
        <v>Sambal Kuning</v>
      </c>
      <c r="D362" s="22">
        <v>1</v>
      </c>
      <c r="E362" s="26"/>
    </row>
    <row r="363" spans="1:5" ht="16.5" x14ac:dyDescent="0.2">
      <c r="A363" s="8"/>
      <c r="B363" s="53" t="s">
        <v>130</v>
      </c>
      <c r="C363" s="54" t="str">
        <f>IFERROR(VLOOKUP(B363,'Rekap Stock Barang'!$A$7:$G$153,2,0),"")</f>
        <v>Plastik Sampah S</v>
      </c>
      <c r="D363" s="53">
        <v>4</v>
      </c>
      <c r="E363" s="26"/>
    </row>
    <row r="364" spans="1:5" ht="16.5" x14ac:dyDescent="0.2">
      <c r="A364" s="8"/>
      <c r="B364" s="53" t="s">
        <v>131</v>
      </c>
      <c r="C364" s="54" t="str">
        <f>IFERROR(VLOOKUP(B364,'Rekap Stock Barang'!$A$7:$G$153,2,0),"")</f>
        <v>Plastik Sampah M</v>
      </c>
      <c r="D364" s="53">
        <v>2</v>
      </c>
      <c r="E364" s="26"/>
    </row>
    <row r="365" spans="1:5" ht="16.5" x14ac:dyDescent="0.2">
      <c r="A365" s="8"/>
      <c r="B365" s="53" t="s">
        <v>132</v>
      </c>
      <c r="C365" s="54" t="str">
        <f>IFERROR(VLOOKUP(B365,'Rekap Stock Barang'!$A$7:$G$153,2,0),"")</f>
        <v>Plastik Sampah L</v>
      </c>
      <c r="D365" s="53">
        <v>2</v>
      </c>
      <c r="E365" s="26"/>
    </row>
    <row r="366" spans="1:5" ht="16.5" x14ac:dyDescent="0.2">
      <c r="A366" s="8"/>
      <c r="B366" s="53" t="s">
        <v>274</v>
      </c>
      <c r="C366" s="54" t="str">
        <f>IFERROR(VLOOKUP(B366,'Rekap Stock Barang'!$A$7:$G$153,2,0),"")</f>
        <v>Plastik Sampah XL</v>
      </c>
      <c r="D366" s="53">
        <v>1</v>
      </c>
      <c r="E366" s="26"/>
    </row>
    <row r="367" spans="1:5" ht="16.5" x14ac:dyDescent="0.2">
      <c r="A367" s="22"/>
      <c r="B367" s="55" t="s">
        <v>236</v>
      </c>
      <c r="C367" s="56" t="str">
        <f>IFERROR(VLOOKUP(B367,'Rekap Stock Barang'!$A$7:$G$153,2,0),"")</f>
        <v xml:space="preserve">Paha Gurih Manis </v>
      </c>
      <c r="D367" s="55">
        <v>6</v>
      </c>
      <c r="E367" s="26"/>
    </row>
    <row r="368" spans="1:5" ht="16.5" x14ac:dyDescent="0.2">
      <c r="A368" s="22"/>
      <c r="B368" s="55" t="s">
        <v>241</v>
      </c>
      <c r="C368" s="56" t="str">
        <f>IFERROR(VLOOKUP(B368,'Rekap Stock Barang'!$A$7:$G$153,2,0),"")</f>
        <v>Dada Gurih Manis</v>
      </c>
      <c r="D368" s="55">
        <v>2</v>
      </c>
      <c r="E368" s="26"/>
    </row>
    <row r="369" spans="1:5" ht="16.5" x14ac:dyDescent="0.2">
      <c r="A369" s="22"/>
      <c r="B369" s="55" t="s">
        <v>16</v>
      </c>
      <c r="C369" s="56" t="str">
        <f>IFERROR(VLOOKUP(B369,'Rekap Stock Barang'!$A$7:$G$153,2,0),"")</f>
        <v>Paha</v>
      </c>
      <c r="D369" s="55">
        <v>5</v>
      </c>
      <c r="E369" s="26"/>
    </row>
    <row r="370" spans="1:5" ht="16.5" x14ac:dyDescent="0.2">
      <c r="A370" s="22"/>
      <c r="B370" s="55" t="s">
        <v>19</v>
      </c>
      <c r="C370" s="56" t="str">
        <f>IFERROR(VLOOKUP(B370,'Rekap Stock Barang'!$A$7:$G$153,2,0),"")</f>
        <v>Dada</v>
      </c>
      <c r="D370" s="55">
        <v>12</v>
      </c>
      <c r="E370" s="26"/>
    </row>
    <row r="371" spans="1:5" ht="16.5" x14ac:dyDescent="0.2">
      <c r="A371" s="22"/>
      <c r="B371" s="55" t="s">
        <v>8</v>
      </c>
      <c r="C371" s="56" t="str">
        <f>IFERROR(VLOOKUP(B371,'Rekap Stock Barang'!$A$7:$G$153,2,0),"")</f>
        <v xml:space="preserve">Ayam Suwir </v>
      </c>
      <c r="D371" s="55">
        <v>7</v>
      </c>
      <c r="E371" s="26"/>
    </row>
    <row r="372" spans="1:5" ht="16.5" x14ac:dyDescent="0.2">
      <c r="A372" s="22"/>
      <c r="B372" s="55" t="s">
        <v>9</v>
      </c>
      <c r="C372" s="56" t="str">
        <f>IFERROR(VLOOKUP(B372,'Rekap Stock Barang'!$A$7:$G$153,2,0),"")</f>
        <v xml:space="preserve">Topping Kwetiau </v>
      </c>
      <c r="D372" s="55">
        <v>9</v>
      </c>
      <c r="E372" s="26"/>
    </row>
    <row r="373" spans="1:5" ht="16.5" x14ac:dyDescent="0.2">
      <c r="A373" s="22"/>
      <c r="B373" s="55" t="s">
        <v>243</v>
      </c>
      <c r="C373" s="56" t="str">
        <f>IFERROR(VLOOKUP(B373,'Rekap Stock Barang'!$A$7:$G$153,2,0),"")</f>
        <v xml:space="preserve">Daging Slice </v>
      </c>
      <c r="D373" s="55">
        <v>2</v>
      </c>
      <c r="E373" s="26"/>
    </row>
    <row r="374" spans="1:5" ht="16.5" x14ac:dyDescent="0.2">
      <c r="A374" s="22"/>
      <c r="B374" s="55" t="s">
        <v>14</v>
      </c>
      <c r="C374" s="56" t="str">
        <f>IFERROR(VLOOKUP(B374,'Rekap Stock Barang'!$A$7:$G$153,2,0),"")</f>
        <v>Ayam Jamur</v>
      </c>
      <c r="D374" s="55">
        <v>7</v>
      </c>
      <c r="E374" s="26"/>
    </row>
    <row r="375" spans="1:5" ht="16.5" x14ac:dyDescent="0.2">
      <c r="A375" s="22"/>
      <c r="B375" s="55" t="s">
        <v>20</v>
      </c>
      <c r="C375" s="56" t="str">
        <f>IFERROR(VLOOKUP(B375,'Rekap Stock Barang'!$A$7:$G$153,2,0),"")</f>
        <v>Cumi</v>
      </c>
      <c r="D375" s="55">
        <v>12</v>
      </c>
      <c r="E375" s="26"/>
    </row>
    <row r="376" spans="1:5" ht="16.5" x14ac:dyDescent="0.2">
      <c r="A376" s="22"/>
      <c r="B376" s="55" t="s">
        <v>38</v>
      </c>
      <c r="C376" s="56" t="str">
        <f>IFERROR(VLOOKUP(B376,'Rekap Stock Barang'!$A$7:$G$153,2,0),"")</f>
        <v>Daging Sambal HIjau</v>
      </c>
      <c r="D376" s="55">
        <v>8</v>
      </c>
      <c r="E376" s="26"/>
    </row>
    <row r="377" spans="1:5" ht="16.5" x14ac:dyDescent="0.2">
      <c r="A377" s="22"/>
      <c r="B377" s="55" t="s">
        <v>22</v>
      </c>
      <c r="C377" s="56" t="str">
        <f>IFERROR(VLOOKUP(B377,'Rekap Stock Barang'!$A$7:$G$153,2,0),"")</f>
        <v>Kulit</v>
      </c>
      <c r="D377" s="55">
        <v>4</v>
      </c>
      <c r="E377" s="26"/>
    </row>
    <row r="378" spans="1:5" ht="16.5" x14ac:dyDescent="0.2">
      <c r="A378" s="22"/>
      <c r="B378" s="55" t="s">
        <v>28</v>
      </c>
      <c r="C378" s="56" t="str">
        <f>IFERROR(VLOOKUP(B378,'Rekap Stock Barang'!$A$7:$G$153,2,0),"")</f>
        <v xml:space="preserve">Topping Nasi Gila </v>
      </c>
      <c r="D378" s="55">
        <v>1</v>
      </c>
      <c r="E378" s="26"/>
    </row>
    <row r="379" spans="1:5" ht="16.5" x14ac:dyDescent="0.2">
      <c r="A379" s="22"/>
      <c r="B379" s="55" t="s">
        <v>24</v>
      </c>
      <c r="C379" s="56" t="str">
        <f>IFERROR(VLOOKUP(B379,'Rekap Stock Barang'!$A$7:$G$153,2,0),"")</f>
        <v xml:space="preserve">Lidah </v>
      </c>
      <c r="D379" s="55">
        <v>13</v>
      </c>
      <c r="E379" s="26"/>
    </row>
    <row r="380" spans="1:5" ht="16.5" x14ac:dyDescent="0.2">
      <c r="A380" s="22"/>
      <c r="B380" s="55" t="s">
        <v>288</v>
      </c>
      <c r="C380" s="56" t="str">
        <f>IFERROR(VLOOKUP(B380,'Rekap Stock Barang'!$A$7:$G$153,2,0),"")</f>
        <v>Pete</v>
      </c>
      <c r="D380" s="55">
        <v>0</v>
      </c>
      <c r="E380" s="26"/>
    </row>
    <row r="381" spans="1:5" ht="16.5" x14ac:dyDescent="0.2">
      <c r="A381" s="22"/>
      <c r="B381" s="55" t="s">
        <v>275</v>
      </c>
      <c r="C381" s="56" t="str">
        <f>IFERROR(VLOOKUP(B381,'Rekap Stock Barang'!$A$7:$G$153,2,0),"")</f>
        <v xml:space="preserve">Teri Pete </v>
      </c>
      <c r="D381" s="55">
        <v>3</v>
      </c>
      <c r="E381" s="26"/>
    </row>
    <row r="382" spans="1:5" ht="16.5" x14ac:dyDescent="0.2">
      <c r="A382" s="22"/>
      <c r="B382" s="55" t="s">
        <v>10</v>
      </c>
      <c r="C382" s="56" t="str">
        <f>IFERROR(VLOOKUP(B382,'Rekap Stock Barang'!$A$7:$G$153,2,0),"")</f>
        <v>Topping Mbakmoy</v>
      </c>
      <c r="D382" s="55">
        <v>3</v>
      </c>
      <c r="E382" s="26"/>
    </row>
    <row r="383" spans="1:5" ht="16.5" x14ac:dyDescent="0.2">
      <c r="A383" s="22"/>
      <c r="B383" s="55" t="s">
        <v>276</v>
      </c>
      <c r="C383" s="56" t="str">
        <f>IFERROR(VLOOKUP(B383,'Rekap Stock Barang'!$A$7:$G$153,2,0),"")</f>
        <v>Sambal Baby Cumi</v>
      </c>
      <c r="D383" s="55">
        <v>10</v>
      </c>
      <c r="E383" s="26"/>
    </row>
    <row r="384" spans="1:5" ht="16.5" x14ac:dyDescent="0.2">
      <c r="A384" s="22"/>
      <c r="B384" s="57" t="s">
        <v>31</v>
      </c>
      <c r="C384" s="58" t="str">
        <f>IFERROR(VLOOKUP(B384,'Rekap Stock Barang'!$A$7:$G$153,2,0),"")</f>
        <v>Bagor</v>
      </c>
      <c r="D384" s="57">
        <v>10</v>
      </c>
      <c r="E384" s="26"/>
    </row>
    <row r="385" spans="1:5" ht="16.5" x14ac:dyDescent="0.2">
      <c r="A385" s="22"/>
      <c r="B385" s="57" t="s">
        <v>178</v>
      </c>
      <c r="C385" s="58" t="str">
        <f>IFERROR(VLOOKUP(B385,'Rekap Stock Barang'!$A$7:$G$153,2,0),"")</f>
        <v xml:space="preserve">Cireng </v>
      </c>
      <c r="D385" s="57">
        <v>1</v>
      </c>
      <c r="E385" s="26"/>
    </row>
    <row r="386" spans="1:5" ht="16.5" x14ac:dyDescent="0.2">
      <c r="A386" s="22"/>
      <c r="B386" s="57" t="s">
        <v>238</v>
      </c>
      <c r="C386" s="58" t="str">
        <f>IFERROR(VLOOKUP(B386,'Rekap Stock Barang'!$A$7:$G$153,2,0),"")</f>
        <v>Sayap Goreng</v>
      </c>
      <c r="D386" s="57">
        <v>5</v>
      </c>
      <c r="E386" s="26"/>
    </row>
    <row r="387" spans="1:5" ht="16.5" x14ac:dyDescent="0.2">
      <c r="A387" s="22"/>
      <c r="B387" s="59" t="s">
        <v>175</v>
      </c>
      <c r="C387" s="60" t="str">
        <f>IFERROR(VLOOKUP(B387,'Rekap Stock Barang'!$A$7:$G$153,2,0),"")</f>
        <v>Mineral</v>
      </c>
      <c r="D387" s="59">
        <v>44</v>
      </c>
      <c r="E387" s="26"/>
    </row>
    <row r="388" spans="1:5" ht="16.5" x14ac:dyDescent="0.2">
      <c r="A388" s="22"/>
      <c r="B388" s="59" t="s">
        <v>170</v>
      </c>
      <c r="C388" s="60" t="str">
        <f>IFERROR(VLOOKUP(B388,'Rekap Stock Barang'!$A$7:$G$153,2,0),"")</f>
        <v>Air Tahu</v>
      </c>
      <c r="D388" s="59">
        <v>2</v>
      </c>
      <c r="E388" s="26"/>
    </row>
    <row r="389" spans="1:5" ht="16.5" x14ac:dyDescent="0.2">
      <c r="A389" s="22"/>
      <c r="B389" s="59" t="s">
        <v>229</v>
      </c>
      <c r="C389" s="60" t="str">
        <f>IFERROR(VLOOKUP(B389,'Rekap Stock Barang'!$A$7:$G$153,2,0),"")</f>
        <v xml:space="preserve">Manggo Juice </v>
      </c>
      <c r="D389" s="59">
        <v>1</v>
      </c>
      <c r="E389" s="26"/>
    </row>
    <row r="390" spans="1:5" ht="16.5" x14ac:dyDescent="0.2">
      <c r="A390" s="22"/>
      <c r="B390" s="59" t="s">
        <v>226</v>
      </c>
      <c r="C390" s="60" t="str">
        <f>IFERROR(VLOOKUP(B390,'Rekap Stock Barang'!$A$7:$G$153,2,0),"")</f>
        <v>Mix Berries</v>
      </c>
      <c r="D390" s="59">
        <v>0</v>
      </c>
      <c r="E390" s="26"/>
    </row>
    <row r="391" spans="1:5" ht="16.5" x14ac:dyDescent="0.2">
      <c r="A391" s="69"/>
      <c r="B391" s="70" t="s">
        <v>202</v>
      </c>
      <c r="C391" s="60" t="str">
        <f>IFERROR(VLOOKUP(B391,'Rekap Stock Barang'!$A$7:$G$153,2,0),"")</f>
        <v xml:space="preserve">Zoda Water </v>
      </c>
      <c r="D391" s="70">
        <v>0</v>
      </c>
      <c r="E391" s="26"/>
    </row>
    <row r="392" spans="1:5" ht="17.25" thickBot="1" x14ac:dyDescent="0.25">
      <c r="A392" s="61"/>
      <c r="B392" s="62" t="s">
        <v>223</v>
      </c>
      <c r="C392" s="63" t="str">
        <f>IFERROR(VLOOKUP(B392,'Rekap Stock Barang'!$A$7:$G$153,2,0),"")</f>
        <v>Sirsak Juice</v>
      </c>
      <c r="D392" s="62">
        <v>0</v>
      </c>
      <c r="E392" s="26"/>
    </row>
    <row r="393" spans="1:5" ht="16.5" x14ac:dyDescent="0.2">
      <c r="A393" s="21">
        <v>46274</v>
      </c>
      <c r="B393" s="22" t="s">
        <v>280</v>
      </c>
      <c r="C393" s="40" t="str">
        <f>IFERROR(VLOOKUP(B393,'Rekap Stock Barang'!$A$7:$G$153,2,0),"")</f>
        <v xml:space="preserve">Bumbu Racik </v>
      </c>
      <c r="D393" s="22">
        <v>5</v>
      </c>
      <c r="E393" s="26"/>
    </row>
    <row r="394" spans="1:5" ht="16.5" x14ac:dyDescent="0.2">
      <c r="A394" s="22"/>
      <c r="B394" s="22" t="s">
        <v>206</v>
      </c>
      <c r="C394" s="40" t="str">
        <f>IFERROR(VLOOKUP(B394,'Rekap Stock Barang'!$A$7:$G$153,2,0),"")</f>
        <v xml:space="preserve">Garam </v>
      </c>
      <c r="D394" s="22">
        <v>1</v>
      </c>
      <c r="E394" s="26"/>
    </row>
    <row r="395" spans="1:5" ht="16.5" x14ac:dyDescent="0.2">
      <c r="A395" s="22"/>
      <c r="B395" s="22" t="s">
        <v>188</v>
      </c>
      <c r="C395" s="40" t="str">
        <f>IFERROR(VLOOKUP(B395,'Rekap Stock Barang'!$A$7:$G$153,2,0),"")</f>
        <v xml:space="preserve">Mie Urai </v>
      </c>
      <c r="D395" s="22">
        <v>2</v>
      </c>
      <c r="E395" s="26"/>
    </row>
    <row r="396" spans="1:5" ht="16.5" x14ac:dyDescent="0.2">
      <c r="A396" s="22"/>
      <c r="B396" s="22" t="s">
        <v>312</v>
      </c>
      <c r="C396" s="40" t="str">
        <f>IFERROR(VLOOKUP(B396,'Rekap Stock Barang'!$A$7:$G$153,2,0),"")</f>
        <v>Sambal Terong</v>
      </c>
      <c r="D396" s="22">
        <v>1</v>
      </c>
      <c r="E396" s="26"/>
    </row>
    <row r="397" spans="1:5" ht="16.5" x14ac:dyDescent="0.2">
      <c r="A397" s="22"/>
      <c r="B397" s="22" t="s">
        <v>164</v>
      </c>
      <c r="C397" s="40" t="str">
        <f>IFERROR(VLOOKUP(B397,'Rekap Stock Barang'!$A$7:$G$153,2,0),"")</f>
        <v xml:space="preserve">Ekonomi </v>
      </c>
      <c r="D397" s="22">
        <v>5</v>
      </c>
      <c r="E397" s="26"/>
    </row>
    <row r="398" spans="1:5" ht="16.5" x14ac:dyDescent="0.2">
      <c r="A398" s="22"/>
      <c r="B398" s="22" t="s">
        <v>308</v>
      </c>
      <c r="C398" s="40" t="str">
        <f>IFERROR(VLOOKUP(B398,'Rekap Stock Barang'!$A$7:$G$153,2,0),"")</f>
        <v xml:space="preserve">Bumbu Lidah </v>
      </c>
      <c r="D398" s="22">
        <v>1</v>
      </c>
      <c r="E398" s="26"/>
    </row>
    <row r="399" spans="1:5" ht="16.5" x14ac:dyDescent="0.2">
      <c r="A399" s="22"/>
      <c r="B399" s="22" t="s">
        <v>313</v>
      </c>
      <c r="C399" s="40" t="str">
        <f>IFERROR(VLOOKUP(B399,'Rekap Stock Barang'!$A$7:$G$153,2,0),"")</f>
        <v>Bumbu Mie Goreng Jawa</v>
      </c>
      <c r="D399" s="22">
        <v>1</v>
      </c>
      <c r="E399" s="26"/>
    </row>
    <row r="400" spans="1:5" ht="16.5" x14ac:dyDescent="0.2">
      <c r="A400" s="22"/>
      <c r="B400" s="22" t="s">
        <v>282</v>
      </c>
      <c r="C400" s="40" t="str">
        <f>IFERROR(VLOOKUP(B400,'Rekap Stock Barang'!$A$7:$G$153,2,0),"")</f>
        <v>Bumbu Kwetiau</v>
      </c>
      <c r="D400" s="22">
        <v>1</v>
      </c>
      <c r="E400" s="26"/>
    </row>
    <row r="401" spans="1:5" ht="16.5" x14ac:dyDescent="0.2">
      <c r="A401" s="22"/>
      <c r="B401" s="22" t="s">
        <v>272</v>
      </c>
      <c r="C401" s="40" t="str">
        <f>IFERROR(VLOOKUP(B401,'Rekap Stock Barang'!$A$7:$G$153,2,0),"")</f>
        <v>Tepung Telur</v>
      </c>
      <c r="D401" s="22">
        <v>4</v>
      </c>
      <c r="E401" s="26"/>
    </row>
    <row r="402" spans="1:5" ht="16.5" x14ac:dyDescent="0.2">
      <c r="A402" s="22"/>
      <c r="B402" s="22" t="s">
        <v>184</v>
      </c>
      <c r="C402" s="40" t="str">
        <f>IFERROR(VLOOKUP(B402,'Rekap Stock Barang'!$A$7:$G$153,2,0),"")</f>
        <v xml:space="preserve">Tepung Maizena </v>
      </c>
      <c r="D402" s="22">
        <v>1</v>
      </c>
      <c r="E402" s="26"/>
    </row>
    <row r="403" spans="1:5" ht="16.5" x14ac:dyDescent="0.2">
      <c r="A403" s="22"/>
      <c r="B403" s="22" t="s">
        <v>201</v>
      </c>
      <c r="C403" s="40" t="str">
        <f>IFERROR(VLOOKUP(B403,'Rekap Stock Barang'!$A$7:$G$153,2,0),"")</f>
        <v xml:space="preserve">Soda Polaris </v>
      </c>
      <c r="D403" s="22">
        <v>1</v>
      </c>
      <c r="E403" s="26"/>
    </row>
    <row r="404" spans="1:5" ht="16.5" x14ac:dyDescent="0.2">
      <c r="A404" s="22"/>
      <c r="B404" s="22" t="s">
        <v>273</v>
      </c>
      <c r="C404" s="40" t="str">
        <f>IFERROR(VLOOKUP(B404,'Rekap Stock Barang'!$A$7:$G$153,2,0),"")</f>
        <v>Sambal Bawang</v>
      </c>
      <c r="D404" s="22">
        <v>1</v>
      </c>
      <c r="E404" s="26"/>
    </row>
    <row r="405" spans="1:5" ht="16.5" x14ac:dyDescent="0.2">
      <c r="A405" s="22"/>
      <c r="B405" s="22" t="s">
        <v>283</v>
      </c>
      <c r="C405" s="40" t="str">
        <f>IFERROR(VLOOKUP(B405,'Rekap Stock Barang'!$A$7:$G$153,2,0),"")</f>
        <v>Sambal Petis</v>
      </c>
      <c r="D405" s="22">
        <v>1</v>
      </c>
      <c r="E405" s="26"/>
    </row>
    <row r="406" spans="1:5" ht="16.5" x14ac:dyDescent="0.2">
      <c r="A406" s="22"/>
      <c r="B406" s="22" t="s">
        <v>294</v>
      </c>
      <c r="C406" s="40" t="str">
        <f>IFERROR(VLOOKUP(B406,'Rekap Stock Barang'!$A$7:$G$153,2,0),"")</f>
        <v>Gorengan Mbakmoy</v>
      </c>
      <c r="D406" s="22">
        <v>1</v>
      </c>
      <c r="E406" s="26"/>
    </row>
    <row r="407" spans="1:5" ht="16.5" x14ac:dyDescent="0.2">
      <c r="A407" s="22"/>
      <c r="B407" s="22" t="s">
        <v>195</v>
      </c>
      <c r="C407" s="40" t="str">
        <f>IFERROR(VLOOKUP(B407,'Rekap Stock Barang'!$A$7:$G$153,2,0),"")</f>
        <v xml:space="preserve">Keju </v>
      </c>
      <c r="D407" s="22">
        <v>1</v>
      </c>
      <c r="E407" s="26"/>
    </row>
    <row r="408" spans="1:5" ht="16.5" x14ac:dyDescent="0.2">
      <c r="A408" s="22"/>
      <c r="B408" s="22" t="s">
        <v>292</v>
      </c>
      <c r="C408" s="40" t="str">
        <f>IFERROR(VLOOKUP(B408,'Rekap Stock Barang'!$A$7:$G$153,2,0),"")</f>
        <v>Sambal Kuning</v>
      </c>
      <c r="D408" s="22">
        <v>1</v>
      </c>
      <c r="E408" s="26"/>
    </row>
    <row r="409" spans="1:5" ht="16.5" x14ac:dyDescent="0.2">
      <c r="A409" s="22"/>
      <c r="B409" s="22" t="s">
        <v>187</v>
      </c>
      <c r="C409" s="40" t="str">
        <f>IFERROR(VLOOKUP(B409,'Rekap Stock Barang'!$A$7:$G$153,2,0),"")</f>
        <v xml:space="preserve">Tepung Tapioka </v>
      </c>
      <c r="D409" s="22">
        <v>1</v>
      </c>
      <c r="E409" s="26"/>
    </row>
    <row r="410" spans="1:5" ht="16.5" x14ac:dyDescent="0.2">
      <c r="A410" s="22"/>
      <c r="B410" s="22" t="s">
        <v>270</v>
      </c>
      <c r="C410" s="40" t="str">
        <f>IFERROR(VLOOKUP(B410,'Rekap Stock Barang'!$A$7:$G$153,2,0),"")</f>
        <v>Tissue Toilet</v>
      </c>
      <c r="D410" s="22">
        <v>1</v>
      </c>
      <c r="E410" s="26"/>
    </row>
    <row r="411" spans="1:5" ht="16.5" x14ac:dyDescent="0.2">
      <c r="A411" s="8"/>
      <c r="B411" s="53" t="s">
        <v>130</v>
      </c>
      <c r="C411" s="54" t="str">
        <f>IFERROR(VLOOKUP(B411,'Rekap Stock Barang'!$A$7:$G$153,2,0),"")</f>
        <v>Plastik Sampah S</v>
      </c>
      <c r="D411" s="53">
        <v>4</v>
      </c>
      <c r="E411" s="26"/>
    </row>
    <row r="412" spans="1:5" ht="16.5" x14ac:dyDescent="0.2">
      <c r="A412" s="8"/>
      <c r="B412" s="53" t="s">
        <v>131</v>
      </c>
      <c r="C412" s="54" t="str">
        <f>IFERROR(VLOOKUP(B412,'Rekap Stock Barang'!$A$7:$G$153,2,0),"")</f>
        <v>Plastik Sampah M</v>
      </c>
      <c r="D412" s="53">
        <v>2</v>
      </c>
      <c r="E412" s="26"/>
    </row>
    <row r="413" spans="1:5" ht="16.5" x14ac:dyDescent="0.2">
      <c r="A413" s="8"/>
      <c r="B413" s="53" t="s">
        <v>132</v>
      </c>
      <c r="C413" s="54" t="str">
        <f>IFERROR(VLOOKUP(B413,'Rekap Stock Barang'!$A$7:$G$153,2,0),"")</f>
        <v>Plastik Sampah L</v>
      </c>
      <c r="D413" s="53">
        <v>2</v>
      </c>
      <c r="E413" s="26"/>
    </row>
    <row r="414" spans="1:5" ht="16.5" x14ac:dyDescent="0.2">
      <c r="A414" s="8"/>
      <c r="B414" s="53" t="s">
        <v>274</v>
      </c>
      <c r="C414" s="54" t="str">
        <f>IFERROR(VLOOKUP(B414,'Rekap Stock Barang'!$A$7:$G$153,2,0),"")</f>
        <v>Plastik Sampah XL</v>
      </c>
      <c r="D414" s="53">
        <v>2</v>
      </c>
      <c r="E414" s="26"/>
    </row>
    <row r="415" spans="1:5" ht="16.5" x14ac:dyDescent="0.2">
      <c r="A415" s="22"/>
      <c r="B415" s="55" t="s">
        <v>236</v>
      </c>
      <c r="C415" s="56" t="str">
        <f>IFERROR(VLOOKUP(B415,'Rekap Stock Barang'!$A$7:$G$153,2,0),"")</f>
        <v xml:space="preserve">Paha Gurih Manis </v>
      </c>
      <c r="D415" s="55">
        <v>6</v>
      </c>
      <c r="E415" s="26"/>
    </row>
    <row r="416" spans="1:5" ht="16.5" x14ac:dyDescent="0.2">
      <c r="A416" s="22"/>
      <c r="B416" s="55" t="s">
        <v>241</v>
      </c>
      <c r="C416" s="56" t="str">
        <f>IFERROR(VLOOKUP(B416,'Rekap Stock Barang'!$A$7:$G$153,2,0),"")</f>
        <v>Dada Gurih Manis</v>
      </c>
      <c r="D416" s="55">
        <v>1</v>
      </c>
      <c r="E416" s="26"/>
    </row>
    <row r="417" spans="1:5" ht="16.5" x14ac:dyDescent="0.2">
      <c r="A417" s="22"/>
      <c r="B417" s="55" t="s">
        <v>16</v>
      </c>
      <c r="C417" s="56" t="str">
        <f>IFERROR(VLOOKUP(B417,'Rekap Stock Barang'!$A$7:$G$153,2,0),"")</f>
        <v>Paha</v>
      </c>
      <c r="D417" s="55">
        <v>12</v>
      </c>
      <c r="E417" s="26"/>
    </row>
    <row r="418" spans="1:5" ht="16.5" x14ac:dyDescent="0.2">
      <c r="A418" s="22"/>
      <c r="B418" s="55" t="s">
        <v>19</v>
      </c>
      <c r="C418" s="56" t="str">
        <f>IFERROR(VLOOKUP(B418,'Rekap Stock Barang'!$A$7:$G$153,2,0),"")</f>
        <v>Dada</v>
      </c>
      <c r="D418" s="55">
        <v>6</v>
      </c>
      <c r="E418" s="26"/>
    </row>
    <row r="419" spans="1:5" ht="16.5" x14ac:dyDescent="0.2">
      <c r="A419" s="22"/>
      <c r="B419" s="55" t="s">
        <v>8</v>
      </c>
      <c r="C419" s="56" t="str">
        <f>IFERROR(VLOOKUP(B419,'Rekap Stock Barang'!$A$7:$G$153,2,0),"")</f>
        <v xml:space="preserve">Ayam Suwir </v>
      </c>
      <c r="D419" s="55">
        <v>13</v>
      </c>
      <c r="E419" s="26"/>
    </row>
    <row r="420" spans="1:5" ht="16.5" x14ac:dyDescent="0.2">
      <c r="A420" s="22"/>
      <c r="B420" s="55" t="s">
        <v>9</v>
      </c>
      <c r="C420" s="56" t="str">
        <f>IFERROR(VLOOKUP(B420,'Rekap Stock Barang'!$A$7:$G$153,2,0),"")</f>
        <v xml:space="preserve">Topping Kwetiau </v>
      </c>
      <c r="D420" s="55">
        <v>11</v>
      </c>
      <c r="E420" s="26"/>
    </row>
    <row r="421" spans="1:5" ht="16.5" x14ac:dyDescent="0.2">
      <c r="A421" s="22"/>
      <c r="B421" s="55" t="s">
        <v>243</v>
      </c>
      <c r="C421" s="56" t="str">
        <f>IFERROR(VLOOKUP(B421,'Rekap Stock Barang'!$A$7:$G$153,2,0),"")</f>
        <v xml:space="preserve">Daging Slice </v>
      </c>
      <c r="D421" s="55">
        <v>3</v>
      </c>
      <c r="E421" s="26"/>
    </row>
    <row r="422" spans="1:5" ht="16.5" x14ac:dyDescent="0.2">
      <c r="A422" s="22"/>
      <c r="B422" s="55" t="s">
        <v>14</v>
      </c>
      <c r="C422" s="56" t="str">
        <f>IFERROR(VLOOKUP(B422,'Rekap Stock Barang'!$A$7:$G$153,2,0),"")</f>
        <v>Ayam Jamur</v>
      </c>
      <c r="D422" s="55">
        <v>3</v>
      </c>
      <c r="E422" s="26"/>
    </row>
    <row r="423" spans="1:5" ht="16.5" x14ac:dyDescent="0.2">
      <c r="A423" s="22"/>
      <c r="B423" s="55" t="s">
        <v>20</v>
      </c>
      <c r="C423" s="56" t="str">
        <f>IFERROR(VLOOKUP(B423,'Rekap Stock Barang'!$A$7:$G$153,2,0),"")</f>
        <v>Cumi</v>
      </c>
      <c r="D423" s="55">
        <v>7</v>
      </c>
      <c r="E423" s="26"/>
    </row>
    <row r="424" spans="1:5" ht="16.5" x14ac:dyDescent="0.2">
      <c r="A424" s="22"/>
      <c r="B424" s="55" t="s">
        <v>38</v>
      </c>
      <c r="C424" s="56" t="str">
        <f>IFERROR(VLOOKUP(B424,'Rekap Stock Barang'!$A$7:$G$153,2,0),"")</f>
        <v>Daging Sambal HIjau</v>
      </c>
      <c r="D424" s="55">
        <v>1</v>
      </c>
      <c r="E424" s="26"/>
    </row>
    <row r="425" spans="1:5" ht="16.5" x14ac:dyDescent="0.2">
      <c r="A425" s="22"/>
      <c r="B425" s="55" t="s">
        <v>22</v>
      </c>
      <c r="C425" s="56" t="str">
        <f>IFERROR(VLOOKUP(B425,'Rekap Stock Barang'!$A$7:$G$153,2,0),"")</f>
        <v>Kulit</v>
      </c>
      <c r="D425" s="55">
        <v>3</v>
      </c>
      <c r="E425" s="26"/>
    </row>
    <row r="426" spans="1:5" ht="16.5" x14ac:dyDescent="0.2">
      <c r="A426" s="22"/>
      <c r="B426" s="55" t="s">
        <v>28</v>
      </c>
      <c r="C426" s="56" t="str">
        <f>IFERROR(VLOOKUP(B426,'Rekap Stock Barang'!$A$7:$G$153,2,0),"")</f>
        <v xml:space="preserve">Topping Nasi Gila </v>
      </c>
      <c r="D426" s="55">
        <v>0</v>
      </c>
      <c r="E426" s="26"/>
    </row>
    <row r="427" spans="1:5" ht="16.5" x14ac:dyDescent="0.2">
      <c r="A427" s="22"/>
      <c r="B427" s="55" t="s">
        <v>24</v>
      </c>
      <c r="C427" s="56" t="str">
        <f>IFERROR(VLOOKUP(B427,'Rekap Stock Barang'!$A$7:$G$153,2,0),"")</f>
        <v xml:space="preserve">Lidah </v>
      </c>
      <c r="D427" s="55">
        <v>3</v>
      </c>
      <c r="E427" s="26"/>
    </row>
    <row r="428" spans="1:5" ht="16.5" x14ac:dyDescent="0.2">
      <c r="A428" s="22"/>
      <c r="B428" s="55" t="s">
        <v>288</v>
      </c>
      <c r="C428" s="56" t="str">
        <f>IFERROR(VLOOKUP(B428,'Rekap Stock Barang'!$A$7:$G$153,2,0),"")</f>
        <v>Pete</v>
      </c>
      <c r="D428" s="55">
        <v>4</v>
      </c>
      <c r="E428" s="26"/>
    </row>
    <row r="429" spans="1:5" ht="16.5" x14ac:dyDescent="0.2">
      <c r="A429" s="22"/>
      <c r="B429" s="55" t="s">
        <v>275</v>
      </c>
      <c r="C429" s="56" t="str">
        <f>IFERROR(VLOOKUP(B429,'Rekap Stock Barang'!$A$7:$G$153,2,0),"")</f>
        <v xml:space="preserve">Teri Pete </v>
      </c>
      <c r="D429" s="55">
        <v>5</v>
      </c>
      <c r="E429" s="26"/>
    </row>
    <row r="430" spans="1:5" ht="16.5" x14ac:dyDescent="0.2">
      <c r="A430" s="22"/>
      <c r="B430" s="55" t="s">
        <v>10</v>
      </c>
      <c r="C430" s="56" t="str">
        <f>IFERROR(VLOOKUP(B430,'Rekap Stock Barang'!$A$7:$G$153,2,0),"")</f>
        <v>Topping Mbakmoy</v>
      </c>
      <c r="D430" s="55">
        <v>3</v>
      </c>
      <c r="E430" s="26"/>
    </row>
    <row r="431" spans="1:5" ht="16.5" x14ac:dyDescent="0.2">
      <c r="A431" s="22"/>
      <c r="B431" s="55" t="s">
        <v>276</v>
      </c>
      <c r="C431" s="56" t="str">
        <f>IFERROR(VLOOKUP(B431,'Rekap Stock Barang'!$A$7:$G$153,2,0),"")</f>
        <v>Sambal Baby Cumi</v>
      </c>
      <c r="D431" s="55">
        <v>9</v>
      </c>
      <c r="E431" s="26"/>
    </row>
    <row r="432" spans="1:5" ht="16.5" x14ac:dyDescent="0.2">
      <c r="A432" s="22"/>
      <c r="B432" s="57" t="s">
        <v>31</v>
      </c>
      <c r="C432" s="58" t="str">
        <f>IFERROR(VLOOKUP(B432,'Rekap Stock Barang'!$A$7:$G$153,2,0),"")</f>
        <v>Bagor</v>
      </c>
      <c r="D432" s="57">
        <v>6</v>
      </c>
      <c r="E432" s="26"/>
    </row>
    <row r="433" spans="1:5" ht="16.5" x14ac:dyDescent="0.2">
      <c r="A433" s="22"/>
      <c r="B433" s="57" t="s">
        <v>178</v>
      </c>
      <c r="C433" s="58" t="str">
        <f>IFERROR(VLOOKUP(B433,'Rekap Stock Barang'!$A$7:$G$153,2,0),"")</f>
        <v xml:space="preserve">Cireng </v>
      </c>
      <c r="D433" s="57">
        <v>0</v>
      </c>
      <c r="E433" s="26"/>
    </row>
    <row r="434" spans="1:5" ht="16.5" x14ac:dyDescent="0.2">
      <c r="A434" s="22"/>
      <c r="B434" s="57" t="s">
        <v>238</v>
      </c>
      <c r="C434" s="58" t="str">
        <f>IFERROR(VLOOKUP(B434,'Rekap Stock Barang'!$A$7:$G$153,2,0),"")</f>
        <v>Sayap Goreng</v>
      </c>
      <c r="D434" s="57">
        <v>5</v>
      </c>
      <c r="E434" s="26"/>
    </row>
    <row r="435" spans="1:5" ht="16.5" x14ac:dyDescent="0.2">
      <c r="A435" s="22"/>
      <c r="B435" s="59" t="s">
        <v>175</v>
      </c>
      <c r="C435" s="60" t="str">
        <f>IFERROR(VLOOKUP(B435,'Rekap Stock Barang'!$A$7:$G$153,2,0),"")</f>
        <v>Mineral</v>
      </c>
      <c r="D435" s="59">
        <v>33</v>
      </c>
      <c r="E435" s="26"/>
    </row>
    <row r="436" spans="1:5" ht="16.5" x14ac:dyDescent="0.2">
      <c r="A436" s="22"/>
      <c r="B436" s="59" t="s">
        <v>170</v>
      </c>
      <c r="C436" s="60" t="str">
        <f>IFERROR(VLOOKUP(B436,'Rekap Stock Barang'!$A$7:$G$153,2,0),"")</f>
        <v>Air Tahu</v>
      </c>
      <c r="D436" s="59">
        <v>4</v>
      </c>
      <c r="E436" s="26"/>
    </row>
    <row r="437" spans="1:5" ht="16.5" x14ac:dyDescent="0.2">
      <c r="A437" s="22"/>
      <c r="B437" s="59" t="s">
        <v>229</v>
      </c>
      <c r="C437" s="60" t="str">
        <f>IFERROR(VLOOKUP(B437,'Rekap Stock Barang'!$A$7:$G$153,2,0),"")</f>
        <v xml:space="preserve">Manggo Juice </v>
      </c>
      <c r="D437" s="59">
        <v>0</v>
      </c>
      <c r="E437" s="26"/>
    </row>
    <row r="438" spans="1:5" ht="16.5" x14ac:dyDescent="0.2">
      <c r="A438" s="22"/>
      <c r="B438" s="59" t="s">
        <v>226</v>
      </c>
      <c r="C438" s="60" t="str">
        <f>IFERROR(VLOOKUP(B438,'Rekap Stock Barang'!$A$7:$G$153,2,0),"")</f>
        <v>Mix Berries</v>
      </c>
      <c r="D438" s="59">
        <v>2</v>
      </c>
      <c r="E438" s="26"/>
    </row>
    <row r="439" spans="1:5" ht="16.5" x14ac:dyDescent="0.2">
      <c r="A439" s="69"/>
      <c r="B439" s="70" t="s">
        <v>202</v>
      </c>
      <c r="C439" s="60" t="str">
        <f>IFERROR(VLOOKUP(B439,'Rekap Stock Barang'!$A$7:$G$153,2,0),"")</f>
        <v xml:space="preserve">Zoda Water </v>
      </c>
      <c r="D439" s="70">
        <v>0</v>
      </c>
      <c r="E439" s="26"/>
    </row>
    <row r="440" spans="1:5" ht="17.25" thickBot="1" x14ac:dyDescent="0.25">
      <c r="A440" s="61"/>
      <c r="B440" s="62" t="s">
        <v>223</v>
      </c>
      <c r="C440" s="63" t="str">
        <f>IFERROR(VLOOKUP(B440,'Rekap Stock Barang'!$A$7:$G$153,2,0),"")</f>
        <v>Sirsak Juice</v>
      </c>
      <c r="D440" s="62">
        <v>0</v>
      </c>
      <c r="E440" s="26"/>
    </row>
    <row r="441" spans="1:5" ht="16.5" x14ac:dyDescent="0.2">
      <c r="A441" s="21">
        <v>46275</v>
      </c>
      <c r="B441" s="22" t="s">
        <v>217</v>
      </c>
      <c r="C441" s="40" t="str">
        <f>IFERROR(VLOOKUP(B441,'Rekap Stock Barang'!$A$7:$G$153,2,0),"")</f>
        <v>Thermal Paper</v>
      </c>
      <c r="D441" s="22">
        <v>9</v>
      </c>
      <c r="E441" s="26"/>
    </row>
    <row r="442" spans="1:5" ht="16.5" x14ac:dyDescent="0.2">
      <c r="A442" s="22"/>
      <c r="B442" s="22" t="s">
        <v>290</v>
      </c>
      <c r="C442" s="40" t="str">
        <f>IFERROR(VLOOKUP(B442,'Rekap Stock Barang'!$A$7:$G$153,2,0),"")</f>
        <v>Bumbu Serundeng</v>
      </c>
      <c r="D442" s="22">
        <v>1</v>
      </c>
      <c r="E442" s="26"/>
    </row>
    <row r="443" spans="1:5" ht="16.5" x14ac:dyDescent="0.2">
      <c r="A443" s="22"/>
      <c r="B443" s="22" t="s">
        <v>127</v>
      </c>
      <c r="C443" s="40" t="str">
        <f>IFERROR(VLOOKUP(B443,'Rekap Stock Barang'!$A$7:$G$153,2,0),"")</f>
        <v>Vanilli</v>
      </c>
      <c r="D443" s="22">
        <v>1</v>
      </c>
      <c r="E443" s="26"/>
    </row>
    <row r="444" spans="1:5" ht="16.5" x14ac:dyDescent="0.2">
      <c r="A444" s="22"/>
      <c r="B444" s="22" t="s">
        <v>148</v>
      </c>
      <c r="C444" s="40" t="str">
        <f>IFERROR(VLOOKUP(B444,'Rekap Stock Barang'!$A$7:$G$153,2,0),"")</f>
        <v>Tissue Meja</v>
      </c>
      <c r="D444" s="22">
        <v>1</v>
      </c>
      <c r="E444" s="26"/>
    </row>
    <row r="445" spans="1:5" ht="16.5" x14ac:dyDescent="0.2">
      <c r="A445" s="22"/>
      <c r="B445" s="22" t="s">
        <v>204</v>
      </c>
      <c r="C445" s="40" t="str">
        <f>IFERROR(VLOOKUP(B445,'Rekap Stock Barang'!$A$7:$G$153,2,0),"")</f>
        <v xml:space="preserve">Gula </v>
      </c>
      <c r="D445" s="22">
        <v>1</v>
      </c>
      <c r="E445" s="26"/>
    </row>
    <row r="446" spans="1:5" ht="16.5" x14ac:dyDescent="0.2">
      <c r="A446" s="22"/>
      <c r="B446" s="22" t="s">
        <v>214</v>
      </c>
      <c r="C446" s="40" t="str">
        <f>IFERROR(VLOOKUP(B446,'Rekap Stock Barang'!$A$7:$G$153,2,0),"")</f>
        <v xml:space="preserve">Lakban Segara </v>
      </c>
      <c r="D446" s="22">
        <v>1</v>
      </c>
      <c r="E446" s="26"/>
    </row>
    <row r="447" spans="1:5" ht="16.5" x14ac:dyDescent="0.2">
      <c r="A447" s="22"/>
      <c r="B447" s="22" t="s">
        <v>292</v>
      </c>
      <c r="C447" s="40" t="str">
        <f>IFERROR(VLOOKUP(B447,'Rekap Stock Barang'!$A$7:$G$153,2,0),"")</f>
        <v>Sambal Kuning</v>
      </c>
      <c r="D447" s="22">
        <v>1</v>
      </c>
      <c r="E447" s="26"/>
    </row>
    <row r="448" spans="1:5" ht="16.5" x14ac:dyDescent="0.2">
      <c r="A448" s="22"/>
      <c r="B448" s="22" t="s">
        <v>273</v>
      </c>
      <c r="C448" s="40" t="str">
        <f>IFERROR(VLOOKUP(B448,'Rekap Stock Barang'!$A$7:$G$153,2,0),"")</f>
        <v>Sambal Bawang</v>
      </c>
      <c r="D448" s="22">
        <v>1</v>
      </c>
      <c r="E448" s="26"/>
    </row>
    <row r="449" spans="1:5" ht="16.5" x14ac:dyDescent="0.2">
      <c r="A449" s="22"/>
      <c r="B449" s="22" t="s">
        <v>119</v>
      </c>
      <c r="C449" s="40" t="str">
        <f>IFERROR(VLOOKUP(B449,'Rekap Stock Barang'!$A$7:$G$153,2,0),"")</f>
        <v>Tepung Telur</v>
      </c>
      <c r="D449" s="22">
        <v>2</v>
      </c>
      <c r="E449" s="26"/>
    </row>
    <row r="450" spans="1:5" ht="16.5" x14ac:dyDescent="0.2">
      <c r="A450" s="22"/>
      <c r="B450" s="22" t="s">
        <v>270</v>
      </c>
      <c r="C450" s="40" t="str">
        <f>IFERROR(VLOOKUP(B450,'Rekap Stock Barang'!$A$7:$G$153,2,0),"")</f>
        <v>Tissue Toilet</v>
      </c>
      <c r="D450" s="22">
        <v>1</v>
      </c>
      <c r="E450" s="26"/>
    </row>
    <row r="451" spans="1:5" ht="16.5" x14ac:dyDescent="0.2">
      <c r="A451" s="22"/>
      <c r="B451" s="22" t="s">
        <v>188</v>
      </c>
      <c r="C451" s="40" t="str">
        <f>IFERROR(VLOOKUP(B451,'Rekap Stock Barang'!$A$7:$G$153,2,0),"")</f>
        <v xml:space="preserve">Mie Urai </v>
      </c>
      <c r="D451" s="22">
        <v>2</v>
      </c>
      <c r="E451" s="26"/>
    </row>
    <row r="452" spans="1:5" ht="16.5" x14ac:dyDescent="0.2">
      <c r="A452" s="22"/>
      <c r="B452" s="22" t="s">
        <v>199</v>
      </c>
      <c r="C452" s="40" t="str">
        <f>IFERROR(VLOOKUP(B452,'Rekap Stock Barang'!$A$7:$G$153,2,0),"")</f>
        <v>Ecolate Lemongrass</v>
      </c>
      <c r="D452" s="22">
        <v>1</v>
      </c>
      <c r="E452" s="26"/>
    </row>
    <row r="453" spans="1:5" ht="16.5" x14ac:dyDescent="0.2">
      <c r="A453" s="22"/>
      <c r="B453" s="22" t="s">
        <v>293</v>
      </c>
      <c r="C453" s="40" t="str">
        <f>IFERROR(VLOOKUP(B453,'Rekap Stock Barang'!$A$7:$G$153,2,0),"")</f>
        <v>Susu Kental Manis Carnation</v>
      </c>
      <c r="D453" s="22">
        <v>2</v>
      </c>
      <c r="E453" s="26"/>
    </row>
    <row r="454" spans="1:5" ht="16.5" x14ac:dyDescent="0.2">
      <c r="A454" s="22"/>
      <c r="B454" s="22" t="s">
        <v>193</v>
      </c>
      <c r="C454" s="40" t="str">
        <f>IFERROR(VLOOKUP(B454,'Rekap Stock Barang'!$A$7:$G$153,2,0),"")</f>
        <v xml:space="preserve">Oatside Milk </v>
      </c>
      <c r="D454" s="22">
        <v>1</v>
      </c>
      <c r="E454" s="26"/>
    </row>
    <row r="455" spans="1:5" ht="16.5" x14ac:dyDescent="0.2">
      <c r="A455" s="22"/>
      <c r="B455" s="22" t="s">
        <v>281</v>
      </c>
      <c r="C455" s="40" t="str">
        <f>IFERROR(VLOOKUP(B455,'Rekap Stock Barang'!$A$7:$G$153,2,0),"")</f>
        <v>Diamond Milk</v>
      </c>
      <c r="D455" s="22">
        <v>1</v>
      </c>
      <c r="E455" s="26"/>
    </row>
    <row r="456" spans="1:5" ht="16.5" x14ac:dyDescent="0.2">
      <c r="A456" s="22"/>
      <c r="B456" s="22" t="s">
        <v>194</v>
      </c>
      <c r="C456" s="40" t="str">
        <f>IFERROR(VLOOKUP(B456,'Rekap Stock Barang'!$A$7:$G$153,2,0),"")</f>
        <v xml:space="preserve">Cashew Milk </v>
      </c>
      <c r="D456" s="22">
        <v>1</v>
      </c>
      <c r="E456" s="26"/>
    </row>
    <row r="457" spans="1:5" ht="16.5" x14ac:dyDescent="0.2">
      <c r="A457" s="22"/>
      <c r="B457" s="22" t="s">
        <v>228</v>
      </c>
      <c r="C457" s="40" t="str">
        <f>IFERROR(VLOOKUP(B457,'Rekap Stock Barang'!$A$7:$G$153,2,0),"")</f>
        <v xml:space="preserve">Sedotan </v>
      </c>
      <c r="D457" s="22">
        <v>1</v>
      </c>
      <c r="E457" s="26"/>
    </row>
    <row r="458" spans="1:5" ht="16.5" x14ac:dyDescent="0.2">
      <c r="A458" s="22"/>
      <c r="B458" s="22" t="s">
        <v>192</v>
      </c>
      <c r="C458" s="40" t="str">
        <f>IFERROR(VLOOKUP(B458,'Rekap Stock Barang'!$A$7:$G$153,2,0),"")</f>
        <v xml:space="preserve">Max Creamer </v>
      </c>
      <c r="D458" s="22">
        <v>1</v>
      </c>
      <c r="E458" s="26"/>
    </row>
    <row r="459" spans="1:5" ht="16.5" x14ac:dyDescent="0.2">
      <c r="A459" s="22"/>
      <c r="B459" s="22" t="s">
        <v>204</v>
      </c>
      <c r="C459" s="40" t="str">
        <f>IFERROR(VLOOKUP(B459,'Rekap Stock Barang'!$A$7:$G$153,2,0),"")</f>
        <v xml:space="preserve">Gula </v>
      </c>
      <c r="D459" s="22">
        <v>1</v>
      </c>
      <c r="E459" s="26"/>
    </row>
    <row r="460" spans="1:5" ht="16.5" x14ac:dyDescent="0.2">
      <c r="A460" s="8"/>
      <c r="B460" s="53" t="s">
        <v>130</v>
      </c>
      <c r="C460" s="54" t="str">
        <f>IFERROR(VLOOKUP(B460,'Rekap Stock Barang'!$A$7:$G$153,2,0),"")</f>
        <v>Plastik Sampah S</v>
      </c>
      <c r="D460" s="53">
        <v>3</v>
      </c>
      <c r="E460" s="26"/>
    </row>
    <row r="461" spans="1:5" ht="16.5" x14ac:dyDescent="0.2">
      <c r="A461" s="8"/>
      <c r="B461" s="53" t="s">
        <v>131</v>
      </c>
      <c r="C461" s="54" t="str">
        <f>IFERROR(VLOOKUP(B461,'Rekap Stock Barang'!$A$7:$G$153,2,0),"")</f>
        <v>Plastik Sampah M</v>
      </c>
      <c r="D461" s="53">
        <v>2</v>
      </c>
      <c r="E461" s="26"/>
    </row>
    <row r="462" spans="1:5" ht="16.5" x14ac:dyDescent="0.2">
      <c r="A462" s="8"/>
      <c r="B462" s="53" t="s">
        <v>132</v>
      </c>
      <c r="C462" s="54" t="str">
        <f>IFERROR(VLOOKUP(B462,'Rekap Stock Barang'!$A$7:$G$153,2,0),"")</f>
        <v>Plastik Sampah L</v>
      </c>
      <c r="D462" s="53">
        <v>2</v>
      </c>
      <c r="E462" s="26"/>
    </row>
    <row r="463" spans="1:5" ht="16.5" x14ac:dyDescent="0.2">
      <c r="A463" s="8"/>
      <c r="B463" s="53" t="s">
        <v>274</v>
      </c>
      <c r="C463" s="54" t="str">
        <f>IFERROR(VLOOKUP(B463,'Rekap Stock Barang'!$A$7:$G$153,2,0),"")</f>
        <v>Plastik Sampah XL</v>
      </c>
      <c r="D463" s="53">
        <v>1</v>
      </c>
      <c r="E463" s="26"/>
    </row>
    <row r="464" spans="1:5" ht="16.5" x14ac:dyDescent="0.2">
      <c r="A464" s="22"/>
      <c r="B464" s="55" t="s">
        <v>236</v>
      </c>
      <c r="C464" s="56" t="str">
        <f>IFERROR(VLOOKUP(B464,'Rekap Stock Barang'!$A$7:$G$153,2,0),"")</f>
        <v xml:space="preserve">Paha Gurih Manis </v>
      </c>
      <c r="D464" s="55">
        <v>2</v>
      </c>
      <c r="E464" s="26"/>
    </row>
    <row r="465" spans="1:5" ht="16.5" x14ac:dyDescent="0.2">
      <c r="A465" s="22"/>
      <c r="B465" s="55" t="s">
        <v>241</v>
      </c>
      <c r="C465" s="56" t="str">
        <f>IFERROR(VLOOKUP(B465,'Rekap Stock Barang'!$A$7:$G$153,2,0),"")</f>
        <v>Dada Gurih Manis</v>
      </c>
      <c r="D465" s="55">
        <v>2</v>
      </c>
      <c r="E465" s="26"/>
    </row>
    <row r="466" spans="1:5" ht="16.5" x14ac:dyDescent="0.2">
      <c r="A466" s="22"/>
      <c r="B466" s="55" t="s">
        <v>16</v>
      </c>
      <c r="C466" s="56" t="str">
        <f>IFERROR(VLOOKUP(B466,'Rekap Stock Barang'!$A$7:$G$153,2,0),"")</f>
        <v>Paha</v>
      </c>
      <c r="D466" s="55">
        <v>7</v>
      </c>
      <c r="E466" s="26"/>
    </row>
    <row r="467" spans="1:5" ht="16.5" x14ac:dyDescent="0.2">
      <c r="A467" s="22"/>
      <c r="B467" s="55" t="s">
        <v>19</v>
      </c>
      <c r="C467" s="56" t="str">
        <f>IFERROR(VLOOKUP(B467,'Rekap Stock Barang'!$A$7:$G$153,2,0),"")</f>
        <v>Dada</v>
      </c>
      <c r="D467" s="55">
        <v>5</v>
      </c>
      <c r="E467" s="26"/>
    </row>
    <row r="468" spans="1:5" ht="16.5" x14ac:dyDescent="0.2">
      <c r="A468" s="22"/>
      <c r="B468" s="55" t="s">
        <v>8</v>
      </c>
      <c r="C468" s="56" t="str">
        <f>IFERROR(VLOOKUP(B468,'Rekap Stock Barang'!$A$7:$G$153,2,0),"")</f>
        <v xml:space="preserve">Ayam Suwir </v>
      </c>
      <c r="D468" s="55">
        <v>9</v>
      </c>
      <c r="E468" s="26"/>
    </row>
    <row r="469" spans="1:5" ht="16.5" x14ac:dyDescent="0.2">
      <c r="A469" s="22"/>
      <c r="B469" s="55" t="s">
        <v>9</v>
      </c>
      <c r="C469" s="56" t="str">
        <f>IFERROR(VLOOKUP(B469,'Rekap Stock Barang'!$A$7:$G$153,2,0),"")</f>
        <v xml:space="preserve">Topping Kwetiau </v>
      </c>
      <c r="D469" s="55">
        <v>6</v>
      </c>
      <c r="E469" s="26"/>
    </row>
    <row r="470" spans="1:5" ht="16.5" x14ac:dyDescent="0.2">
      <c r="A470" s="22"/>
      <c r="B470" s="55" t="s">
        <v>243</v>
      </c>
      <c r="C470" s="56" t="str">
        <f>IFERROR(VLOOKUP(B470,'Rekap Stock Barang'!$A$7:$G$153,2,0),"")</f>
        <v xml:space="preserve">Daging Slice </v>
      </c>
      <c r="D470" s="55">
        <v>0</v>
      </c>
      <c r="E470" s="26"/>
    </row>
    <row r="471" spans="1:5" ht="16.5" x14ac:dyDescent="0.2">
      <c r="A471" s="22"/>
      <c r="B471" s="55" t="s">
        <v>14</v>
      </c>
      <c r="C471" s="56" t="str">
        <f>IFERROR(VLOOKUP(B471,'Rekap Stock Barang'!$A$7:$G$153,2,0),"")</f>
        <v>Ayam Jamur</v>
      </c>
      <c r="D471" s="55">
        <v>4</v>
      </c>
      <c r="E471" s="26"/>
    </row>
    <row r="472" spans="1:5" ht="16.5" x14ac:dyDescent="0.2">
      <c r="A472" s="22"/>
      <c r="B472" s="55" t="s">
        <v>20</v>
      </c>
      <c r="C472" s="56" t="str">
        <f>IFERROR(VLOOKUP(B472,'Rekap Stock Barang'!$A$7:$G$153,2,0),"")</f>
        <v>Cumi</v>
      </c>
      <c r="D472" s="55">
        <v>10</v>
      </c>
      <c r="E472" s="26"/>
    </row>
    <row r="473" spans="1:5" ht="16.5" x14ac:dyDescent="0.2">
      <c r="A473" s="22"/>
      <c r="B473" s="55" t="s">
        <v>38</v>
      </c>
      <c r="C473" s="56" t="str">
        <f>IFERROR(VLOOKUP(B473,'Rekap Stock Barang'!$A$7:$G$153,2,0),"")</f>
        <v>Daging Sambal HIjau</v>
      </c>
      <c r="D473" s="55">
        <v>5</v>
      </c>
      <c r="E473" s="26"/>
    </row>
    <row r="474" spans="1:5" ht="16.5" x14ac:dyDescent="0.2">
      <c r="A474" s="22"/>
      <c r="B474" s="55" t="s">
        <v>22</v>
      </c>
      <c r="C474" s="56" t="str">
        <f>IFERROR(VLOOKUP(B474,'Rekap Stock Barang'!$A$7:$G$153,2,0),"")</f>
        <v>Kulit</v>
      </c>
      <c r="D474" s="55">
        <v>10</v>
      </c>
      <c r="E474" s="26"/>
    </row>
    <row r="475" spans="1:5" ht="16.5" x14ac:dyDescent="0.2">
      <c r="A475" s="22"/>
      <c r="B475" s="55" t="s">
        <v>28</v>
      </c>
      <c r="C475" s="56" t="str">
        <f>IFERROR(VLOOKUP(B475,'Rekap Stock Barang'!$A$7:$G$153,2,0),"")</f>
        <v xml:space="preserve">Topping Nasi Gila </v>
      </c>
      <c r="D475" s="55">
        <v>2</v>
      </c>
      <c r="E475" s="26"/>
    </row>
    <row r="476" spans="1:5" ht="16.5" x14ac:dyDescent="0.2">
      <c r="A476" s="22"/>
      <c r="B476" s="55" t="s">
        <v>24</v>
      </c>
      <c r="C476" s="56" t="str">
        <f>IFERROR(VLOOKUP(B476,'Rekap Stock Barang'!$A$7:$G$153,2,0),"")</f>
        <v xml:space="preserve">Lidah </v>
      </c>
      <c r="D476" s="55">
        <v>2</v>
      </c>
      <c r="E476" s="26"/>
    </row>
    <row r="477" spans="1:5" ht="16.5" x14ac:dyDescent="0.2">
      <c r="A477" s="22"/>
      <c r="B477" s="55" t="s">
        <v>288</v>
      </c>
      <c r="C477" s="56" t="str">
        <f>IFERROR(VLOOKUP(B477,'Rekap Stock Barang'!$A$7:$G$153,2,0),"")</f>
        <v>Pete</v>
      </c>
      <c r="D477" s="55">
        <v>0</v>
      </c>
      <c r="E477" s="26"/>
    </row>
    <row r="478" spans="1:5" ht="16.5" x14ac:dyDescent="0.2">
      <c r="A478" s="22"/>
      <c r="B478" s="55" t="s">
        <v>275</v>
      </c>
      <c r="C478" s="56" t="str">
        <f>IFERROR(VLOOKUP(B478,'Rekap Stock Barang'!$A$7:$G$153,2,0),"")</f>
        <v xml:space="preserve">Teri Pete </v>
      </c>
      <c r="D478" s="55">
        <v>2</v>
      </c>
      <c r="E478" s="26"/>
    </row>
    <row r="479" spans="1:5" ht="16.5" x14ac:dyDescent="0.2">
      <c r="A479" s="22"/>
      <c r="B479" s="55" t="s">
        <v>10</v>
      </c>
      <c r="C479" s="56" t="str">
        <f>IFERROR(VLOOKUP(B479,'Rekap Stock Barang'!$A$7:$G$153,2,0),"")</f>
        <v>Topping Mbakmoy</v>
      </c>
      <c r="D479" s="55">
        <v>0</v>
      </c>
      <c r="E479" s="26"/>
    </row>
    <row r="480" spans="1:5" ht="16.5" x14ac:dyDescent="0.2">
      <c r="A480" s="22"/>
      <c r="B480" s="55" t="s">
        <v>276</v>
      </c>
      <c r="C480" s="56" t="str">
        <f>IFERROR(VLOOKUP(B480,'Rekap Stock Barang'!$A$7:$G$153,2,0),"")</f>
        <v>Sambal Baby Cumi</v>
      </c>
      <c r="D480" s="55">
        <v>4</v>
      </c>
      <c r="E480" s="26"/>
    </row>
    <row r="481" spans="1:5" ht="16.5" x14ac:dyDescent="0.2">
      <c r="A481" s="22"/>
      <c r="B481" s="57" t="s">
        <v>31</v>
      </c>
      <c r="C481" s="58" t="str">
        <f>IFERROR(VLOOKUP(B481,'Rekap Stock Barang'!$A$7:$G$153,2,0),"")</f>
        <v>Bagor</v>
      </c>
      <c r="D481" s="57">
        <v>3</v>
      </c>
      <c r="E481" s="26"/>
    </row>
    <row r="482" spans="1:5" ht="16.5" x14ac:dyDescent="0.2">
      <c r="A482" s="22"/>
      <c r="B482" s="57" t="s">
        <v>178</v>
      </c>
      <c r="C482" s="58" t="str">
        <f>IFERROR(VLOOKUP(B482,'Rekap Stock Barang'!$A$7:$G$153,2,0),"")</f>
        <v xml:space="preserve">Cireng </v>
      </c>
      <c r="D482" s="57">
        <v>0</v>
      </c>
      <c r="E482" s="26"/>
    </row>
    <row r="483" spans="1:5" ht="16.5" x14ac:dyDescent="0.2">
      <c r="A483" s="22"/>
      <c r="B483" s="57" t="s">
        <v>238</v>
      </c>
      <c r="C483" s="58" t="str">
        <f>IFERROR(VLOOKUP(B483,'Rekap Stock Barang'!$A$7:$G$153,2,0),"")</f>
        <v>Sayap Goreng</v>
      </c>
      <c r="D483" s="57">
        <v>0</v>
      </c>
      <c r="E483" s="26"/>
    </row>
    <row r="484" spans="1:5" ht="16.5" x14ac:dyDescent="0.2">
      <c r="A484" s="22"/>
      <c r="B484" s="59" t="s">
        <v>175</v>
      </c>
      <c r="C484" s="60" t="str">
        <f>IFERROR(VLOOKUP(B484,'Rekap Stock Barang'!$A$7:$G$153,2,0),"")</f>
        <v>Mineral</v>
      </c>
      <c r="D484" s="59">
        <v>34</v>
      </c>
      <c r="E484" s="26"/>
    </row>
    <row r="485" spans="1:5" ht="16.5" x14ac:dyDescent="0.2">
      <c r="A485" s="22"/>
      <c r="B485" s="59" t="s">
        <v>170</v>
      </c>
      <c r="C485" s="60" t="str">
        <f>IFERROR(VLOOKUP(B485,'Rekap Stock Barang'!$A$7:$G$153,2,0),"")</f>
        <v>Air Tahu</v>
      </c>
      <c r="D485" s="59">
        <v>4</v>
      </c>
      <c r="E485" s="26"/>
    </row>
    <row r="486" spans="1:5" ht="16.5" x14ac:dyDescent="0.2">
      <c r="A486" s="22"/>
      <c r="B486" s="59" t="s">
        <v>229</v>
      </c>
      <c r="C486" s="60" t="str">
        <f>IFERROR(VLOOKUP(B486,'Rekap Stock Barang'!$A$7:$G$153,2,0),"")</f>
        <v xml:space="preserve">Manggo Juice </v>
      </c>
      <c r="D486" s="59">
        <v>0</v>
      </c>
      <c r="E486" s="26"/>
    </row>
    <row r="487" spans="1:5" ht="16.5" x14ac:dyDescent="0.2">
      <c r="A487" s="22"/>
      <c r="B487" s="59" t="s">
        <v>226</v>
      </c>
      <c r="C487" s="60" t="str">
        <f>IFERROR(VLOOKUP(B487,'Rekap Stock Barang'!$A$7:$G$153,2,0),"")</f>
        <v>Mix Berries</v>
      </c>
      <c r="D487" s="59">
        <v>2</v>
      </c>
      <c r="E487" s="26"/>
    </row>
    <row r="488" spans="1:5" ht="16.5" x14ac:dyDescent="0.2">
      <c r="A488" s="69"/>
      <c r="B488" s="70" t="s">
        <v>202</v>
      </c>
      <c r="C488" s="60" t="str">
        <f>IFERROR(VLOOKUP(B488,'Rekap Stock Barang'!$A$7:$G$153,2,0),"")</f>
        <v xml:space="preserve">Zoda Water </v>
      </c>
      <c r="D488" s="70">
        <v>0</v>
      </c>
      <c r="E488" s="26"/>
    </row>
    <row r="489" spans="1:5" ht="17.25" thickBot="1" x14ac:dyDescent="0.25">
      <c r="A489" s="61"/>
      <c r="B489" s="62" t="s">
        <v>223</v>
      </c>
      <c r="C489" s="63" t="str">
        <f>IFERROR(VLOOKUP(B489,'Rekap Stock Barang'!$A$7:$G$153,2,0),"")</f>
        <v>Sirsak Juice</v>
      </c>
      <c r="D489" s="62">
        <v>1</v>
      </c>
      <c r="E489" s="26"/>
    </row>
    <row r="490" spans="1:5" ht="16.5" x14ac:dyDescent="0.2">
      <c r="A490" s="21">
        <v>46276</v>
      </c>
      <c r="B490" s="22" t="s">
        <v>164</v>
      </c>
      <c r="C490" s="40" t="str">
        <f>IFERROR(VLOOKUP(B490,'Rekap Stock Barang'!$A$7:$G$153,2,0),"")</f>
        <v xml:space="preserve">Ekonomi </v>
      </c>
      <c r="D490" s="22">
        <v>5</v>
      </c>
      <c r="E490" s="26"/>
    </row>
    <row r="491" spans="1:5" ht="16.5" x14ac:dyDescent="0.2">
      <c r="A491" s="22"/>
      <c r="B491" s="22" t="s">
        <v>271</v>
      </c>
      <c r="C491" s="40" t="str">
        <f>IFERROR(VLOOKUP(B491,'Rekap Stock Barang'!$A$7:$G$153,2,0),"")</f>
        <v>Plastik Soup XS</v>
      </c>
      <c r="D491" s="22">
        <v>1</v>
      </c>
      <c r="E491" s="26"/>
    </row>
    <row r="492" spans="1:5" ht="16.5" x14ac:dyDescent="0.2">
      <c r="A492" s="22"/>
      <c r="B492" s="22" t="s">
        <v>270</v>
      </c>
      <c r="C492" s="40" t="str">
        <f>IFERROR(VLOOKUP(B492,'Rekap Stock Barang'!$A$7:$G$153,2,0),"")</f>
        <v>Tissue Toilet</v>
      </c>
      <c r="D492" s="22">
        <v>2</v>
      </c>
      <c r="E492" s="26"/>
    </row>
    <row r="493" spans="1:5" ht="16.5" x14ac:dyDescent="0.2">
      <c r="A493" s="22"/>
      <c r="B493" s="22" t="s">
        <v>214</v>
      </c>
      <c r="C493" s="40" t="str">
        <f>IFERROR(VLOOKUP(B493,'Rekap Stock Barang'!$A$7:$G$153,2,0),"")</f>
        <v xml:space="preserve">Lakban Segara </v>
      </c>
      <c r="D493" s="22">
        <v>1</v>
      </c>
      <c r="E493" s="26"/>
    </row>
    <row r="494" spans="1:5" ht="16.5" x14ac:dyDescent="0.2">
      <c r="A494" s="22"/>
      <c r="B494" s="22" t="s">
        <v>36</v>
      </c>
      <c r="C494" s="40" t="str">
        <f>IFERROR(VLOOKUP(B494,'Rekap Stock Barang'!$A$7:$G$153,2,0),"")</f>
        <v>Bumbu Kwetiau</v>
      </c>
      <c r="D494" s="22">
        <v>1</v>
      </c>
      <c r="E494" s="26"/>
    </row>
    <row r="495" spans="1:5" ht="16.5" x14ac:dyDescent="0.2">
      <c r="A495" s="22"/>
      <c r="B495" s="22" t="s">
        <v>50</v>
      </c>
      <c r="C495" s="40" t="str">
        <f>IFERROR(VLOOKUP(B495,'Rekap Stock Barang'!$A$7:$G$153,2,0),"")</f>
        <v xml:space="preserve">Bumbu Teri </v>
      </c>
      <c r="D495" s="22">
        <v>1</v>
      </c>
      <c r="E495" s="26"/>
    </row>
    <row r="496" spans="1:5" ht="16.5" x14ac:dyDescent="0.2">
      <c r="A496" s="22"/>
      <c r="B496" s="22" t="s">
        <v>41</v>
      </c>
      <c r="C496" s="40" t="str">
        <f>IFERROR(VLOOKUP(B496,'Rekap Stock Barang'!$A$7:$G$153,2,0),"")</f>
        <v>Sambal Bawang</v>
      </c>
      <c r="D496" s="22">
        <v>1</v>
      </c>
      <c r="E496" s="26"/>
    </row>
    <row r="497" spans="1:5" ht="16.5" x14ac:dyDescent="0.2">
      <c r="A497" s="22"/>
      <c r="B497" s="22" t="s">
        <v>217</v>
      </c>
      <c r="C497" s="40" t="str">
        <f>IFERROR(VLOOKUP(B497,'Rekap Stock Barang'!$A$7:$G$153,2,0),"")</f>
        <v>Thermal Paper</v>
      </c>
      <c r="D497" s="22">
        <v>2</v>
      </c>
      <c r="E497" s="26"/>
    </row>
    <row r="498" spans="1:5" ht="16.5" x14ac:dyDescent="0.2">
      <c r="A498" s="22"/>
      <c r="B498" s="22" t="s">
        <v>156</v>
      </c>
      <c r="C498" s="40" t="str">
        <f>IFERROR(VLOOKUP(B498,'Rekap Stock Barang'!$A$7:$G$153,2,0),"")</f>
        <v>Cup Sambal</v>
      </c>
      <c r="D498" s="22">
        <v>1</v>
      </c>
      <c r="E498" s="26"/>
    </row>
    <row r="499" spans="1:5" ht="16.5" x14ac:dyDescent="0.2">
      <c r="A499" s="22"/>
      <c r="B499" s="22" t="s">
        <v>231</v>
      </c>
      <c r="C499" s="40" t="str">
        <f>IFERROR(VLOOKUP(B499,'Rekap Stock Barang'!$A$7:$G$153,2,0),"")</f>
        <v>Tahu Aci</v>
      </c>
      <c r="D499" s="22">
        <v>1</v>
      </c>
      <c r="E499" s="26"/>
    </row>
    <row r="500" spans="1:5" ht="16.5" x14ac:dyDescent="0.2">
      <c r="A500" s="22"/>
      <c r="B500" s="22" t="s">
        <v>272</v>
      </c>
      <c r="C500" s="40" t="str">
        <f>IFERROR(VLOOKUP(B500,'Rekap Stock Barang'!$A$7:$G$153,2,0),"")</f>
        <v>Tepung Telur</v>
      </c>
      <c r="D500" s="22">
        <v>2</v>
      </c>
      <c r="E500" s="26"/>
    </row>
    <row r="501" spans="1:5" ht="16.5" x14ac:dyDescent="0.2">
      <c r="A501" s="22"/>
      <c r="B501" s="22" t="s">
        <v>283</v>
      </c>
      <c r="C501" s="40" t="str">
        <f>IFERROR(VLOOKUP(B501,'Rekap Stock Barang'!$A$7:$G$153,2,0),"")</f>
        <v>Sambal Petis</v>
      </c>
      <c r="D501" s="22">
        <v>1</v>
      </c>
      <c r="E501" s="26"/>
    </row>
    <row r="502" spans="1:5" ht="16.5" x14ac:dyDescent="0.2">
      <c r="A502" s="8"/>
      <c r="B502" s="53" t="s">
        <v>130</v>
      </c>
      <c r="C502" s="54" t="str">
        <f>IFERROR(VLOOKUP(B502,'Rekap Stock Barang'!$A$7:$G$153,2,0),"")</f>
        <v>Plastik Sampah S</v>
      </c>
      <c r="D502" s="53">
        <v>3</v>
      </c>
      <c r="E502" s="26"/>
    </row>
    <row r="503" spans="1:5" ht="16.5" x14ac:dyDescent="0.2">
      <c r="A503" s="8"/>
      <c r="B503" s="53" t="s">
        <v>131</v>
      </c>
      <c r="C503" s="54" t="str">
        <f>IFERROR(VLOOKUP(B503,'Rekap Stock Barang'!$A$7:$G$153,2,0),"")</f>
        <v>Plastik Sampah M</v>
      </c>
      <c r="D503" s="53">
        <v>2</v>
      </c>
      <c r="E503" s="26"/>
    </row>
    <row r="504" spans="1:5" ht="16.5" x14ac:dyDescent="0.2">
      <c r="A504" s="8"/>
      <c r="B504" s="53" t="s">
        <v>132</v>
      </c>
      <c r="C504" s="54" t="str">
        <f>IFERROR(VLOOKUP(B504,'Rekap Stock Barang'!$A$7:$G$153,2,0),"")</f>
        <v>Plastik Sampah L</v>
      </c>
      <c r="D504" s="53">
        <v>1</v>
      </c>
      <c r="E504" s="26"/>
    </row>
    <row r="505" spans="1:5" ht="16.5" x14ac:dyDescent="0.2">
      <c r="A505" s="8"/>
      <c r="B505" s="53" t="s">
        <v>274</v>
      </c>
      <c r="C505" s="54" t="str">
        <f>IFERROR(VLOOKUP(B505,'Rekap Stock Barang'!$A$7:$G$153,2,0),"")</f>
        <v>Plastik Sampah XL</v>
      </c>
      <c r="D505" s="53">
        <v>1</v>
      </c>
      <c r="E505" s="26"/>
    </row>
    <row r="506" spans="1:5" ht="16.5" x14ac:dyDescent="0.2">
      <c r="A506" s="22"/>
      <c r="B506" s="55" t="s">
        <v>236</v>
      </c>
      <c r="C506" s="56" t="str">
        <f>IFERROR(VLOOKUP(B506,'Rekap Stock Barang'!$A$7:$G$153,2,0),"")</f>
        <v xml:space="preserve">Paha Gurih Manis </v>
      </c>
      <c r="D506" s="55">
        <v>1</v>
      </c>
      <c r="E506" s="26"/>
    </row>
    <row r="507" spans="1:5" ht="16.5" x14ac:dyDescent="0.2">
      <c r="A507" s="22"/>
      <c r="B507" s="55" t="s">
        <v>241</v>
      </c>
      <c r="C507" s="56" t="str">
        <f>IFERROR(VLOOKUP(B507,'Rekap Stock Barang'!$A$7:$G$153,2,0),"")</f>
        <v>Dada Gurih Manis</v>
      </c>
      <c r="D507" s="55">
        <v>1</v>
      </c>
      <c r="E507" s="26"/>
    </row>
    <row r="508" spans="1:5" ht="16.5" x14ac:dyDescent="0.2">
      <c r="A508" s="22"/>
      <c r="B508" s="55" t="s">
        <v>16</v>
      </c>
      <c r="C508" s="56" t="str">
        <f>IFERROR(VLOOKUP(B508,'Rekap Stock Barang'!$A$7:$G$153,2,0),"")</f>
        <v>Paha</v>
      </c>
      <c r="D508" s="55">
        <v>7</v>
      </c>
      <c r="E508" s="26"/>
    </row>
    <row r="509" spans="1:5" ht="16.5" x14ac:dyDescent="0.2">
      <c r="A509" s="22"/>
      <c r="B509" s="55" t="s">
        <v>19</v>
      </c>
      <c r="C509" s="56" t="str">
        <f>IFERROR(VLOOKUP(B509,'Rekap Stock Barang'!$A$7:$G$153,2,0),"")</f>
        <v>Dada</v>
      </c>
      <c r="D509" s="55">
        <v>5</v>
      </c>
      <c r="E509" s="26"/>
    </row>
    <row r="510" spans="1:5" ht="16.5" x14ac:dyDescent="0.2">
      <c r="A510" s="22"/>
      <c r="B510" s="55" t="s">
        <v>8</v>
      </c>
      <c r="C510" s="56" t="str">
        <f>IFERROR(VLOOKUP(B510,'Rekap Stock Barang'!$A$7:$G$153,2,0),"")</f>
        <v xml:space="preserve">Ayam Suwir </v>
      </c>
      <c r="D510" s="55">
        <v>11</v>
      </c>
      <c r="E510" s="26"/>
    </row>
    <row r="511" spans="1:5" ht="16.5" x14ac:dyDescent="0.2">
      <c r="A511" s="22"/>
      <c r="B511" s="55" t="s">
        <v>9</v>
      </c>
      <c r="C511" s="56" t="str">
        <f>IFERROR(VLOOKUP(B511,'Rekap Stock Barang'!$A$7:$G$153,2,0),"")</f>
        <v xml:space="preserve">Topping Kwetiau </v>
      </c>
      <c r="D511" s="55">
        <v>5</v>
      </c>
      <c r="E511" s="26"/>
    </row>
    <row r="512" spans="1:5" ht="16.5" x14ac:dyDescent="0.2">
      <c r="A512" s="22"/>
      <c r="B512" s="55" t="s">
        <v>243</v>
      </c>
      <c r="C512" s="56" t="str">
        <f>IFERROR(VLOOKUP(B512,'Rekap Stock Barang'!$A$7:$G$153,2,0),"")</f>
        <v xml:space="preserve">Daging Slice </v>
      </c>
      <c r="D512" s="55">
        <v>2</v>
      </c>
      <c r="E512" s="26"/>
    </row>
    <row r="513" spans="1:5" ht="16.5" x14ac:dyDescent="0.2">
      <c r="A513" s="22"/>
      <c r="B513" s="55" t="s">
        <v>14</v>
      </c>
      <c r="C513" s="56" t="str">
        <f>IFERROR(VLOOKUP(B513,'Rekap Stock Barang'!$A$7:$G$153,2,0),"")</f>
        <v>Ayam Jamur</v>
      </c>
      <c r="D513" s="55">
        <v>2</v>
      </c>
      <c r="E513" s="26"/>
    </row>
    <row r="514" spans="1:5" ht="16.5" x14ac:dyDescent="0.2">
      <c r="A514" s="22"/>
      <c r="B514" s="55" t="s">
        <v>20</v>
      </c>
      <c r="C514" s="56" t="str">
        <f>IFERROR(VLOOKUP(B514,'Rekap Stock Barang'!$A$7:$G$153,2,0),"")</f>
        <v>Cumi</v>
      </c>
      <c r="D514" s="55">
        <v>5</v>
      </c>
      <c r="E514" s="26"/>
    </row>
    <row r="515" spans="1:5" ht="16.5" x14ac:dyDescent="0.2">
      <c r="A515" s="22"/>
      <c r="B515" s="55" t="s">
        <v>38</v>
      </c>
      <c r="C515" s="56" t="str">
        <f>IFERROR(VLOOKUP(B515,'Rekap Stock Barang'!$A$7:$G$153,2,0),"")</f>
        <v>Daging Sambal HIjau</v>
      </c>
      <c r="D515" s="55">
        <v>4</v>
      </c>
      <c r="E515" s="26"/>
    </row>
    <row r="516" spans="1:5" ht="16.5" x14ac:dyDescent="0.2">
      <c r="A516" s="22"/>
      <c r="B516" s="55" t="s">
        <v>22</v>
      </c>
      <c r="C516" s="56" t="str">
        <f>IFERROR(VLOOKUP(B516,'Rekap Stock Barang'!$A$7:$G$153,2,0),"")</f>
        <v>Kulit</v>
      </c>
      <c r="D516" s="55">
        <v>4</v>
      </c>
      <c r="E516" s="26"/>
    </row>
    <row r="517" spans="1:5" ht="16.5" x14ac:dyDescent="0.2">
      <c r="A517" s="22"/>
      <c r="B517" s="55" t="s">
        <v>28</v>
      </c>
      <c r="C517" s="56" t="str">
        <f>IFERROR(VLOOKUP(B517,'Rekap Stock Barang'!$A$7:$G$153,2,0),"")</f>
        <v xml:space="preserve">Topping Nasi Gila </v>
      </c>
      <c r="D517" s="55">
        <v>2</v>
      </c>
      <c r="E517" s="26"/>
    </row>
    <row r="518" spans="1:5" ht="16.5" x14ac:dyDescent="0.2">
      <c r="A518" s="22"/>
      <c r="B518" s="55" t="s">
        <v>24</v>
      </c>
      <c r="C518" s="56" t="str">
        <f>IFERROR(VLOOKUP(B518,'Rekap Stock Barang'!$A$7:$G$153,2,0),"")</f>
        <v xml:space="preserve">Lidah </v>
      </c>
      <c r="D518" s="55">
        <v>7</v>
      </c>
      <c r="E518" s="26"/>
    </row>
    <row r="519" spans="1:5" ht="16.5" x14ac:dyDescent="0.2">
      <c r="A519" s="22"/>
      <c r="B519" s="55" t="s">
        <v>288</v>
      </c>
      <c r="C519" s="56" t="str">
        <f>IFERROR(VLOOKUP(B519,'Rekap Stock Barang'!$A$7:$G$153,2,0),"")</f>
        <v>Pete</v>
      </c>
      <c r="D519" s="55">
        <v>0</v>
      </c>
      <c r="E519" s="26"/>
    </row>
    <row r="520" spans="1:5" ht="16.5" x14ac:dyDescent="0.2">
      <c r="A520" s="22"/>
      <c r="B520" s="55" t="s">
        <v>275</v>
      </c>
      <c r="C520" s="56" t="str">
        <f>IFERROR(VLOOKUP(B520,'Rekap Stock Barang'!$A$7:$G$153,2,0),"")</f>
        <v xml:space="preserve">Teri Pete </v>
      </c>
      <c r="D520" s="55">
        <v>4</v>
      </c>
      <c r="E520" s="26"/>
    </row>
    <row r="521" spans="1:5" ht="16.5" x14ac:dyDescent="0.2">
      <c r="A521" s="22"/>
      <c r="B521" s="55" t="s">
        <v>10</v>
      </c>
      <c r="C521" s="56" t="str">
        <f>IFERROR(VLOOKUP(B521,'Rekap Stock Barang'!$A$7:$G$153,2,0),"")</f>
        <v>Topping Mbakmoy</v>
      </c>
      <c r="D521" s="55">
        <v>3</v>
      </c>
      <c r="E521" s="26"/>
    </row>
    <row r="522" spans="1:5" ht="16.5" x14ac:dyDescent="0.2">
      <c r="A522" s="22"/>
      <c r="B522" s="55" t="s">
        <v>276</v>
      </c>
      <c r="C522" s="56" t="str">
        <f>IFERROR(VLOOKUP(B522,'Rekap Stock Barang'!$A$7:$G$153,2,0),"")</f>
        <v>Sambal Baby Cumi</v>
      </c>
      <c r="D522" s="55">
        <v>10</v>
      </c>
      <c r="E522" s="26"/>
    </row>
    <row r="523" spans="1:5" ht="16.5" x14ac:dyDescent="0.2">
      <c r="A523" s="22"/>
      <c r="B523" s="57" t="s">
        <v>31</v>
      </c>
      <c r="C523" s="58" t="str">
        <f>IFERROR(VLOOKUP(B523,'Rekap Stock Barang'!$A$7:$G$153,2,0),"")</f>
        <v>Bagor</v>
      </c>
      <c r="D523" s="57">
        <v>6</v>
      </c>
      <c r="E523" s="26"/>
    </row>
    <row r="524" spans="1:5" ht="16.5" x14ac:dyDescent="0.2">
      <c r="A524" s="22"/>
      <c r="B524" s="57" t="s">
        <v>178</v>
      </c>
      <c r="C524" s="58" t="str">
        <f>IFERROR(VLOOKUP(B524,'Rekap Stock Barang'!$A$7:$G$153,2,0),"")</f>
        <v xml:space="preserve">Cireng </v>
      </c>
      <c r="D524" s="57">
        <v>3</v>
      </c>
      <c r="E524" s="26"/>
    </row>
    <row r="525" spans="1:5" ht="16.5" x14ac:dyDescent="0.2">
      <c r="A525" s="22"/>
      <c r="B525" s="57" t="s">
        <v>238</v>
      </c>
      <c r="C525" s="58" t="str">
        <f>IFERROR(VLOOKUP(B525,'Rekap Stock Barang'!$A$7:$G$153,2,0),"")</f>
        <v>Sayap Goreng</v>
      </c>
      <c r="D525" s="57">
        <v>3</v>
      </c>
      <c r="E525" s="26"/>
    </row>
    <row r="526" spans="1:5" ht="16.5" x14ac:dyDescent="0.2">
      <c r="A526" s="22"/>
      <c r="B526" s="59" t="s">
        <v>175</v>
      </c>
      <c r="C526" s="60" t="str">
        <f>IFERROR(VLOOKUP(B526,'Rekap Stock Barang'!$A$7:$G$153,2,0),"")</f>
        <v>Mineral</v>
      </c>
      <c r="D526" s="59">
        <v>26</v>
      </c>
      <c r="E526" s="26"/>
    </row>
    <row r="527" spans="1:5" ht="16.5" x14ac:dyDescent="0.2">
      <c r="A527" s="22"/>
      <c r="B527" s="59" t="s">
        <v>170</v>
      </c>
      <c r="C527" s="60" t="str">
        <f>IFERROR(VLOOKUP(B527,'Rekap Stock Barang'!$A$7:$G$153,2,0),"")</f>
        <v>Air Tahu</v>
      </c>
      <c r="D527" s="59">
        <v>1</v>
      </c>
      <c r="E527" s="26"/>
    </row>
    <row r="528" spans="1:5" ht="16.5" x14ac:dyDescent="0.2">
      <c r="A528" s="22"/>
      <c r="B528" s="59" t="s">
        <v>229</v>
      </c>
      <c r="C528" s="60" t="str">
        <f>IFERROR(VLOOKUP(B528,'Rekap Stock Barang'!$A$7:$G$153,2,0),"")</f>
        <v xml:space="preserve">Manggo Juice </v>
      </c>
      <c r="D528" s="59">
        <v>0</v>
      </c>
      <c r="E528" s="26"/>
    </row>
    <row r="529" spans="1:5" ht="16.5" x14ac:dyDescent="0.2">
      <c r="A529" s="22"/>
      <c r="B529" s="59" t="s">
        <v>226</v>
      </c>
      <c r="C529" s="60" t="str">
        <f>IFERROR(VLOOKUP(B529,'Rekap Stock Barang'!$A$7:$G$153,2,0),"")</f>
        <v>Mix Berries</v>
      </c>
      <c r="D529" s="59">
        <v>0</v>
      </c>
      <c r="E529" s="26"/>
    </row>
    <row r="530" spans="1:5" ht="16.5" x14ac:dyDescent="0.2">
      <c r="A530" s="69"/>
      <c r="B530" s="70" t="s">
        <v>202</v>
      </c>
      <c r="C530" s="60" t="str">
        <f>IFERROR(VLOOKUP(B530,'Rekap Stock Barang'!$A$7:$G$153,2,0),"")</f>
        <v xml:space="preserve">Zoda Water </v>
      </c>
      <c r="D530" s="70">
        <v>0</v>
      </c>
      <c r="E530" s="26"/>
    </row>
    <row r="531" spans="1:5" ht="17.25" thickBot="1" x14ac:dyDescent="0.25">
      <c r="A531" s="61"/>
      <c r="B531" s="62" t="s">
        <v>223</v>
      </c>
      <c r="C531" s="63" t="str">
        <f>IFERROR(VLOOKUP(B531,'Rekap Stock Barang'!$A$7:$G$153,2,0),"")</f>
        <v>Sirsak Juice</v>
      </c>
      <c r="D531" s="62">
        <v>0</v>
      </c>
      <c r="E531" s="26"/>
    </row>
    <row r="532" spans="1:5" ht="16.5" x14ac:dyDescent="0.2">
      <c r="A532" s="21">
        <v>46277</v>
      </c>
      <c r="B532" s="49" t="s">
        <v>313</v>
      </c>
      <c r="C532" s="40" t="str">
        <f>IFERROR(VLOOKUP(B532,'Rekap Stock Barang'!$A$7:$G$153,2,0),"")</f>
        <v>Bumbu Mie Goreng Jawa</v>
      </c>
      <c r="D532" s="49">
        <v>1</v>
      </c>
      <c r="E532" s="26"/>
    </row>
    <row r="533" spans="1:5" ht="16.5" x14ac:dyDescent="0.2">
      <c r="A533" s="22"/>
      <c r="B533" s="49" t="s">
        <v>160</v>
      </c>
      <c r="C533" s="40" t="str">
        <f>IFERROR(VLOOKUP(B533,'Rekap Stock Barang'!$A$7:$G$153,2,0),"")</f>
        <v>Take Away Box M</v>
      </c>
      <c r="D533" s="49">
        <v>1</v>
      </c>
      <c r="E533" s="26"/>
    </row>
    <row r="534" spans="1:5" ht="16.5" x14ac:dyDescent="0.2">
      <c r="A534" s="22"/>
      <c r="B534" s="49" t="s">
        <v>281</v>
      </c>
      <c r="C534" s="40" t="str">
        <f>IFERROR(VLOOKUP(B534,'Rekap Stock Barang'!$A$7:$G$153,2,0),"")</f>
        <v>Diamond Milk</v>
      </c>
      <c r="D534" s="49">
        <v>1</v>
      </c>
      <c r="E534" s="26"/>
    </row>
    <row r="535" spans="1:5" ht="16.5" x14ac:dyDescent="0.2">
      <c r="A535" s="22"/>
      <c r="B535" s="49" t="s">
        <v>203</v>
      </c>
      <c r="C535" s="40" t="str">
        <f>IFERROR(VLOOKUP(B535,'Rekap Stock Barang'!$A$7:$G$153,2,0),"")</f>
        <v>Apple Juice Diamond</v>
      </c>
      <c r="D535" s="49">
        <v>1</v>
      </c>
      <c r="E535" s="26"/>
    </row>
    <row r="536" spans="1:5" ht="16.5" x14ac:dyDescent="0.2">
      <c r="A536" s="22"/>
      <c r="B536" s="49" t="s">
        <v>293</v>
      </c>
      <c r="C536" s="40" t="str">
        <f>IFERROR(VLOOKUP(B536,'Rekap Stock Barang'!$A$7:$G$153,2,0),"")</f>
        <v>Susu Kental Manis Carnation</v>
      </c>
      <c r="D536" s="49">
        <v>1</v>
      </c>
      <c r="E536" s="26"/>
    </row>
    <row r="537" spans="1:5" ht="16.5" x14ac:dyDescent="0.2">
      <c r="A537" s="22"/>
      <c r="B537" s="49" t="s">
        <v>189</v>
      </c>
      <c r="C537" s="40" t="str">
        <f>IFERROR(VLOOKUP(B537,'Rekap Stock Barang'!$A$7:$G$153,2,0),"")</f>
        <v xml:space="preserve">Susu Evaporasi </v>
      </c>
      <c r="D537" s="49">
        <v>1</v>
      </c>
      <c r="E537" s="26"/>
    </row>
    <row r="538" spans="1:5" ht="16.5" x14ac:dyDescent="0.2">
      <c r="A538" s="22"/>
      <c r="B538" s="49" t="s">
        <v>272</v>
      </c>
      <c r="C538" s="40" t="str">
        <f>IFERROR(VLOOKUP(B538,'Rekap Stock Barang'!$A$7:$G$153,2,0),"")</f>
        <v>Tepung Telur</v>
      </c>
      <c r="D538" s="49">
        <v>2</v>
      </c>
      <c r="E538" s="26"/>
    </row>
    <row r="539" spans="1:5" ht="16.5" x14ac:dyDescent="0.2">
      <c r="A539" s="22"/>
      <c r="B539" s="49" t="s">
        <v>164</v>
      </c>
      <c r="C539" s="40" t="str">
        <f>IFERROR(VLOOKUP(B539,'Rekap Stock Barang'!$A$7:$G$153,2,0),"")</f>
        <v xml:space="preserve">Ekonomi </v>
      </c>
      <c r="D539" s="49">
        <v>5</v>
      </c>
      <c r="E539" s="26"/>
    </row>
    <row r="540" spans="1:5" ht="16.5" x14ac:dyDescent="0.2">
      <c r="A540" s="22"/>
      <c r="B540" s="49" t="s">
        <v>204</v>
      </c>
      <c r="C540" s="40" t="str">
        <f>IFERROR(VLOOKUP(B540,'Rekap Stock Barang'!$A$7:$G$153,2,0),"")</f>
        <v xml:space="preserve">Gula </v>
      </c>
      <c r="D540" s="49">
        <v>1</v>
      </c>
      <c r="E540" s="26"/>
    </row>
    <row r="541" spans="1:5" ht="16.5" x14ac:dyDescent="0.2">
      <c r="A541" s="22"/>
      <c r="B541" s="22" t="s">
        <v>271</v>
      </c>
      <c r="C541" s="40" t="str">
        <f>IFERROR(VLOOKUP(B541,'Rekap Stock Barang'!$A$7:$G$153,2,0),"")</f>
        <v>Plastik Soup XS</v>
      </c>
      <c r="D541" s="22">
        <v>1</v>
      </c>
      <c r="E541" s="26"/>
    </row>
    <row r="542" spans="1:5" ht="16.5" x14ac:dyDescent="0.2">
      <c r="A542" s="22"/>
      <c r="B542" s="22" t="s">
        <v>308</v>
      </c>
      <c r="C542" s="40" t="str">
        <f>IFERROR(VLOOKUP(B542,'Rekap Stock Barang'!$A$7:$G$153,2,0),"")</f>
        <v xml:space="preserve">Bumbu Lidah </v>
      </c>
      <c r="D542" s="22">
        <v>1</v>
      </c>
      <c r="E542" s="26"/>
    </row>
    <row r="543" spans="1:5" ht="16.5" x14ac:dyDescent="0.2">
      <c r="A543" s="22"/>
      <c r="B543" s="22" t="s">
        <v>299</v>
      </c>
      <c r="C543" s="40" t="str">
        <f>IFERROR(VLOOKUP(B543,'Rekap Stock Barang'!$A$7:$G$153,2,0),"")</f>
        <v>Plastik Bima uk24</v>
      </c>
      <c r="D543" s="22">
        <v>1</v>
      </c>
      <c r="E543" s="26"/>
    </row>
    <row r="544" spans="1:5" ht="16.5" x14ac:dyDescent="0.2">
      <c r="A544" s="22"/>
      <c r="B544" s="22" t="s">
        <v>181</v>
      </c>
      <c r="C544" s="40" t="str">
        <f>IFERROR(VLOOKUP(B544,'Rekap Stock Barang'!$A$7:$G$153,2,0),"")</f>
        <v xml:space="preserve">Sagu Mutiara </v>
      </c>
      <c r="D544" s="22">
        <v>2</v>
      </c>
      <c r="E544" s="26"/>
    </row>
    <row r="545" spans="1:5" ht="16.5" x14ac:dyDescent="0.2">
      <c r="A545" s="22"/>
      <c r="B545" s="22" t="s">
        <v>41</v>
      </c>
      <c r="C545" s="40" t="str">
        <f>IFERROR(VLOOKUP(B545,'Rekap Stock Barang'!$A$7:$G$153,2,0),"")</f>
        <v>Sambal Bawang</v>
      </c>
      <c r="D545" s="22">
        <v>1</v>
      </c>
      <c r="E545" s="26"/>
    </row>
    <row r="546" spans="1:5" ht="16.5" x14ac:dyDescent="0.2">
      <c r="A546" s="22"/>
      <c r="B546" s="53" t="s">
        <v>130</v>
      </c>
      <c r="C546" s="54" t="str">
        <f>IFERROR(VLOOKUP(B546,'Rekap Stock Barang'!$A$7:$G$153,2,0),"")</f>
        <v>Plastik Sampah S</v>
      </c>
      <c r="D546" s="53">
        <v>3</v>
      </c>
      <c r="E546" s="26"/>
    </row>
    <row r="547" spans="1:5" ht="16.5" x14ac:dyDescent="0.2">
      <c r="A547" s="22"/>
      <c r="B547" s="53" t="s">
        <v>131</v>
      </c>
      <c r="C547" s="54" t="str">
        <f>IFERROR(VLOOKUP(B547,'Rekap Stock Barang'!$A$7:$G$153,2,0),"")</f>
        <v>Plastik Sampah M</v>
      </c>
      <c r="D547" s="53">
        <v>2</v>
      </c>
      <c r="E547" s="26"/>
    </row>
    <row r="548" spans="1:5" ht="16.5" x14ac:dyDescent="0.2">
      <c r="A548" s="22"/>
      <c r="B548" s="53" t="s">
        <v>132</v>
      </c>
      <c r="C548" s="54" t="str">
        <f>IFERROR(VLOOKUP(B548,'Rekap Stock Barang'!$A$7:$G$153,2,0),"")</f>
        <v>Plastik Sampah L</v>
      </c>
      <c r="D548" s="53">
        <v>1</v>
      </c>
      <c r="E548" s="26"/>
    </row>
    <row r="549" spans="1:5" ht="16.5" x14ac:dyDescent="0.2">
      <c r="A549" s="22"/>
      <c r="B549" s="53" t="s">
        <v>274</v>
      </c>
      <c r="C549" s="54" t="str">
        <f>IFERROR(VLOOKUP(B549,'Rekap Stock Barang'!$A$7:$G$153,2,0),"")</f>
        <v>Plastik Sampah XL</v>
      </c>
      <c r="D549" s="53">
        <v>1</v>
      </c>
      <c r="E549" s="26"/>
    </row>
    <row r="550" spans="1:5" ht="16.5" x14ac:dyDescent="0.2">
      <c r="A550" s="22"/>
      <c r="B550" s="55" t="s">
        <v>236</v>
      </c>
      <c r="C550" s="56" t="str">
        <f>IFERROR(VLOOKUP(B550,'Rekap Stock Barang'!$A$7:$G$153,2,0),"")</f>
        <v xml:space="preserve">Paha Gurih Manis </v>
      </c>
      <c r="D550" s="55">
        <v>4</v>
      </c>
      <c r="E550" s="26"/>
    </row>
    <row r="551" spans="1:5" ht="16.5" x14ac:dyDescent="0.2">
      <c r="A551" s="22"/>
      <c r="B551" s="55" t="s">
        <v>241</v>
      </c>
      <c r="C551" s="56" t="str">
        <f>IFERROR(VLOOKUP(B551,'Rekap Stock Barang'!$A$7:$G$153,2,0),"")</f>
        <v>Dada Gurih Manis</v>
      </c>
      <c r="D551" s="55">
        <v>2</v>
      </c>
      <c r="E551" s="26"/>
    </row>
    <row r="552" spans="1:5" ht="16.5" x14ac:dyDescent="0.2">
      <c r="A552" s="22"/>
      <c r="B552" s="55" t="s">
        <v>16</v>
      </c>
      <c r="C552" s="56" t="str">
        <f>IFERROR(VLOOKUP(B552,'Rekap Stock Barang'!$A$7:$G$153,2,0),"")</f>
        <v>Paha</v>
      </c>
      <c r="D552" s="55">
        <v>9</v>
      </c>
      <c r="E552" s="26"/>
    </row>
    <row r="553" spans="1:5" ht="16.5" x14ac:dyDescent="0.2">
      <c r="A553" s="22"/>
      <c r="B553" s="55" t="s">
        <v>19</v>
      </c>
      <c r="C553" s="56" t="str">
        <f>IFERROR(VLOOKUP(B553,'Rekap Stock Barang'!$A$7:$G$153,2,0),"")</f>
        <v>Dada</v>
      </c>
      <c r="D553" s="55">
        <v>2</v>
      </c>
      <c r="E553" s="26"/>
    </row>
    <row r="554" spans="1:5" ht="16.5" x14ac:dyDescent="0.2">
      <c r="A554" s="22"/>
      <c r="B554" s="55" t="s">
        <v>8</v>
      </c>
      <c r="C554" s="56" t="str">
        <f>IFERROR(VLOOKUP(B554,'Rekap Stock Barang'!$A$7:$G$153,2,0),"")</f>
        <v xml:space="preserve">Ayam Suwir </v>
      </c>
      <c r="D554" s="55">
        <v>7</v>
      </c>
      <c r="E554" s="26"/>
    </row>
    <row r="555" spans="1:5" ht="16.5" x14ac:dyDescent="0.2">
      <c r="A555" s="22"/>
      <c r="B555" s="55" t="s">
        <v>9</v>
      </c>
      <c r="C555" s="56" t="str">
        <f>IFERROR(VLOOKUP(B555,'Rekap Stock Barang'!$A$7:$G$153,2,0),"")</f>
        <v xml:space="preserve">Topping Kwetiau </v>
      </c>
      <c r="D555" s="55">
        <v>7</v>
      </c>
      <c r="E555" s="26"/>
    </row>
    <row r="556" spans="1:5" ht="16.5" x14ac:dyDescent="0.2">
      <c r="A556" s="22"/>
      <c r="B556" s="55" t="s">
        <v>243</v>
      </c>
      <c r="C556" s="56" t="str">
        <f>IFERROR(VLOOKUP(B556,'Rekap Stock Barang'!$A$7:$G$153,2,0),"")</f>
        <v xml:space="preserve">Daging Slice </v>
      </c>
      <c r="D556" s="55">
        <v>4</v>
      </c>
      <c r="E556" s="26"/>
    </row>
    <row r="557" spans="1:5" ht="16.5" x14ac:dyDescent="0.2">
      <c r="A557" s="22"/>
      <c r="B557" s="55" t="s">
        <v>14</v>
      </c>
      <c r="C557" s="56" t="str">
        <f>IFERROR(VLOOKUP(B557,'Rekap Stock Barang'!$A$7:$G$153,2,0),"")</f>
        <v>Ayam Jamur</v>
      </c>
      <c r="D557" s="55">
        <v>7</v>
      </c>
      <c r="E557" s="26"/>
    </row>
    <row r="558" spans="1:5" ht="16.5" x14ac:dyDescent="0.2">
      <c r="A558" s="22"/>
      <c r="B558" s="55" t="s">
        <v>20</v>
      </c>
      <c r="C558" s="56" t="str">
        <f>IFERROR(VLOOKUP(B558,'Rekap Stock Barang'!$A$7:$G$153,2,0),"")</f>
        <v>Cumi</v>
      </c>
      <c r="D558" s="55">
        <v>14</v>
      </c>
      <c r="E558" s="26"/>
    </row>
    <row r="559" spans="1:5" ht="16.5" x14ac:dyDescent="0.2">
      <c r="A559" s="22"/>
      <c r="B559" s="55" t="s">
        <v>38</v>
      </c>
      <c r="C559" s="56" t="str">
        <f>IFERROR(VLOOKUP(B559,'Rekap Stock Barang'!$A$7:$G$153,2,0),"")</f>
        <v>Daging Sambal HIjau</v>
      </c>
      <c r="D559" s="55">
        <v>1</v>
      </c>
      <c r="E559" s="26"/>
    </row>
    <row r="560" spans="1:5" ht="16.5" x14ac:dyDescent="0.2">
      <c r="A560" s="22"/>
      <c r="B560" s="55" t="s">
        <v>22</v>
      </c>
      <c r="C560" s="56" t="str">
        <f>IFERROR(VLOOKUP(B560,'Rekap Stock Barang'!$A$7:$G$153,2,0),"")</f>
        <v>Kulit</v>
      </c>
      <c r="D560" s="55">
        <v>3</v>
      </c>
      <c r="E560" s="26"/>
    </row>
    <row r="561" spans="1:5" ht="16.5" x14ac:dyDescent="0.2">
      <c r="A561" s="22"/>
      <c r="B561" s="55" t="s">
        <v>28</v>
      </c>
      <c r="C561" s="56" t="str">
        <f>IFERROR(VLOOKUP(B561,'Rekap Stock Barang'!$A$7:$G$153,2,0),"")</f>
        <v xml:space="preserve">Topping Nasi Gila </v>
      </c>
      <c r="D561" s="55">
        <v>0</v>
      </c>
      <c r="E561" s="26"/>
    </row>
    <row r="562" spans="1:5" ht="16.5" x14ac:dyDescent="0.2">
      <c r="A562" s="22"/>
      <c r="B562" s="55" t="s">
        <v>24</v>
      </c>
      <c r="C562" s="56" t="str">
        <f>IFERROR(VLOOKUP(B562,'Rekap Stock Barang'!$A$7:$G$153,2,0),"")</f>
        <v xml:space="preserve">Lidah </v>
      </c>
      <c r="D562" s="55">
        <v>3</v>
      </c>
      <c r="E562" s="26"/>
    </row>
    <row r="563" spans="1:5" ht="16.5" x14ac:dyDescent="0.2">
      <c r="A563" s="22"/>
      <c r="B563" s="55" t="s">
        <v>288</v>
      </c>
      <c r="C563" s="56" t="str">
        <f>IFERROR(VLOOKUP(B563,'Rekap Stock Barang'!$A$7:$G$153,2,0),"")</f>
        <v>Pete</v>
      </c>
      <c r="D563" s="55">
        <v>1</v>
      </c>
      <c r="E563" s="26"/>
    </row>
    <row r="564" spans="1:5" ht="16.5" x14ac:dyDescent="0.2">
      <c r="A564" s="22"/>
      <c r="B564" s="55" t="s">
        <v>275</v>
      </c>
      <c r="C564" s="56" t="str">
        <f>IFERROR(VLOOKUP(B564,'Rekap Stock Barang'!$A$7:$G$153,2,0),"")</f>
        <v xml:space="preserve">Teri Pete </v>
      </c>
      <c r="D564" s="55">
        <v>1</v>
      </c>
      <c r="E564" s="26"/>
    </row>
    <row r="565" spans="1:5" ht="16.5" x14ac:dyDescent="0.2">
      <c r="A565" s="22"/>
      <c r="B565" s="55" t="s">
        <v>10</v>
      </c>
      <c r="C565" s="56" t="str">
        <f>IFERROR(VLOOKUP(B565,'Rekap Stock Barang'!$A$7:$G$153,2,0),"")</f>
        <v>Topping Mbakmoy</v>
      </c>
      <c r="D565" s="55">
        <v>2</v>
      </c>
      <c r="E565" s="26"/>
    </row>
    <row r="566" spans="1:5" ht="16.5" x14ac:dyDescent="0.2">
      <c r="A566" s="22"/>
      <c r="B566" s="55" t="s">
        <v>276</v>
      </c>
      <c r="C566" s="56" t="str">
        <f>IFERROR(VLOOKUP(B566,'Rekap Stock Barang'!$A$7:$G$153,2,0),"")</f>
        <v>Sambal Baby Cumi</v>
      </c>
      <c r="D566" s="55">
        <v>3</v>
      </c>
      <c r="E566" s="26"/>
    </row>
    <row r="567" spans="1:5" ht="16.5" x14ac:dyDescent="0.2">
      <c r="A567" s="22"/>
      <c r="B567" s="57" t="s">
        <v>31</v>
      </c>
      <c r="C567" s="58" t="str">
        <f>IFERROR(VLOOKUP(B567,'Rekap Stock Barang'!$A$7:$G$153,2,0),"")</f>
        <v>Bagor</v>
      </c>
      <c r="D567" s="57">
        <v>6</v>
      </c>
      <c r="E567" s="26"/>
    </row>
    <row r="568" spans="1:5" ht="16.5" x14ac:dyDescent="0.2">
      <c r="A568" s="22"/>
      <c r="B568" s="57" t="s">
        <v>178</v>
      </c>
      <c r="C568" s="58" t="str">
        <f>IFERROR(VLOOKUP(B568,'Rekap Stock Barang'!$A$7:$G$153,2,0),"")</f>
        <v xml:space="preserve">Cireng </v>
      </c>
      <c r="D568" s="57">
        <v>0</v>
      </c>
      <c r="E568" s="26"/>
    </row>
    <row r="569" spans="1:5" ht="16.5" x14ac:dyDescent="0.2">
      <c r="A569" s="22"/>
      <c r="B569" s="57" t="s">
        <v>238</v>
      </c>
      <c r="C569" s="58" t="str">
        <f>IFERROR(VLOOKUP(B569,'Rekap Stock Barang'!$A$7:$G$153,2,0),"")</f>
        <v>Sayap Goreng</v>
      </c>
      <c r="D569" s="57">
        <v>5</v>
      </c>
      <c r="E569" s="26"/>
    </row>
    <row r="570" spans="1:5" ht="16.5" x14ac:dyDescent="0.2">
      <c r="A570" s="22"/>
      <c r="B570" s="59" t="s">
        <v>175</v>
      </c>
      <c r="C570" s="60" t="str">
        <f>IFERROR(VLOOKUP(B570,'Rekap Stock Barang'!$A$7:$G$153,2,0),"")</f>
        <v>Mineral</v>
      </c>
      <c r="D570" s="59">
        <v>21</v>
      </c>
      <c r="E570" s="26"/>
    </row>
    <row r="571" spans="1:5" ht="16.5" x14ac:dyDescent="0.2">
      <c r="A571" s="22"/>
      <c r="B571" s="59" t="s">
        <v>170</v>
      </c>
      <c r="C571" s="60" t="str">
        <f>IFERROR(VLOOKUP(B571,'Rekap Stock Barang'!$A$7:$G$153,2,0),"")</f>
        <v>Air Tahu</v>
      </c>
      <c r="D571" s="59">
        <v>4</v>
      </c>
      <c r="E571" s="26"/>
    </row>
    <row r="572" spans="1:5" ht="16.5" x14ac:dyDescent="0.2">
      <c r="A572" s="22"/>
      <c r="B572" s="59" t="s">
        <v>229</v>
      </c>
      <c r="C572" s="60" t="str">
        <f>IFERROR(VLOOKUP(B572,'Rekap Stock Barang'!$A$7:$G$153,2,0),"")</f>
        <v xml:space="preserve">Manggo Juice </v>
      </c>
      <c r="D572" s="59">
        <v>1</v>
      </c>
      <c r="E572" s="26"/>
    </row>
    <row r="573" spans="1:5" ht="16.5" x14ac:dyDescent="0.2">
      <c r="A573" s="22"/>
      <c r="B573" s="59" t="s">
        <v>226</v>
      </c>
      <c r="C573" s="60" t="str">
        <f>IFERROR(VLOOKUP(B573,'Rekap Stock Barang'!$A$7:$G$153,2,0),"")</f>
        <v>Mix Berries</v>
      </c>
      <c r="D573" s="59">
        <v>1</v>
      </c>
      <c r="E573" s="26"/>
    </row>
    <row r="574" spans="1:5" ht="16.5" x14ac:dyDescent="0.2">
      <c r="A574" s="22"/>
      <c r="B574" s="70" t="s">
        <v>202</v>
      </c>
      <c r="C574" s="60" t="str">
        <f>IFERROR(VLOOKUP(B574,'Rekap Stock Barang'!$A$7:$G$153,2,0),"")</f>
        <v xml:space="preserve">Zoda Water </v>
      </c>
      <c r="D574" s="70">
        <v>0</v>
      </c>
      <c r="E574" s="26"/>
    </row>
    <row r="575" spans="1:5" ht="17.25" thickBot="1" x14ac:dyDescent="0.25">
      <c r="A575" s="61"/>
      <c r="B575" s="62" t="s">
        <v>223</v>
      </c>
      <c r="C575" s="63" t="str">
        <f>IFERROR(VLOOKUP(B575,'Rekap Stock Barang'!$A$7:$G$153,2,0),"")</f>
        <v>Sirsak Juice</v>
      </c>
      <c r="D575" s="62">
        <v>0</v>
      </c>
      <c r="E575" s="26"/>
    </row>
    <row r="576" spans="1:5" ht="16.5" x14ac:dyDescent="0.2">
      <c r="A576" s="68">
        <v>46278</v>
      </c>
      <c r="B576" s="49" t="s">
        <v>280</v>
      </c>
      <c r="C576" s="40" t="str">
        <f>IFERROR(VLOOKUP(B576,'Rekap Stock Barang'!$A$7:$G$153,2,0),"")</f>
        <v xml:space="preserve">Bumbu Racik </v>
      </c>
      <c r="D576" s="49">
        <v>5</v>
      </c>
      <c r="E576" s="26"/>
    </row>
    <row r="577" spans="1:5" ht="16.5" x14ac:dyDescent="0.2">
      <c r="A577" s="22"/>
      <c r="B577" s="49" t="s">
        <v>217</v>
      </c>
      <c r="C577" s="40" t="str">
        <f>IFERROR(VLOOKUP(B577,'Rekap Stock Barang'!$A$7:$G$153,2,0),"")</f>
        <v>Thermal Paper</v>
      </c>
      <c r="D577" s="49">
        <v>8</v>
      </c>
      <c r="E577" s="26"/>
    </row>
    <row r="578" spans="1:5" ht="16.5" x14ac:dyDescent="0.2">
      <c r="A578" s="22"/>
      <c r="B578" s="49" t="s">
        <v>291</v>
      </c>
      <c r="C578" s="40" t="str">
        <f>IFERROR(VLOOKUP(B578,'Rekap Stock Barang'!$A$7:$G$153,2,0),"")</f>
        <v>Kunci Mas</v>
      </c>
      <c r="D578" s="49">
        <v>3</v>
      </c>
      <c r="E578" s="26"/>
    </row>
    <row r="579" spans="1:5" ht="16.5" x14ac:dyDescent="0.2">
      <c r="A579" s="22"/>
      <c r="B579" s="49" t="s">
        <v>294</v>
      </c>
      <c r="C579" s="40" t="str">
        <f>IFERROR(VLOOKUP(B579,'Rekap Stock Barang'!$A$7:$G$153,2,0),"")</f>
        <v>Gorengan Mbakmoy</v>
      </c>
      <c r="D579" s="49">
        <v>1</v>
      </c>
      <c r="E579" s="26"/>
    </row>
    <row r="580" spans="1:5" ht="16.5" x14ac:dyDescent="0.2">
      <c r="A580" s="22"/>
      <c r="B580" s="49" t="s">
        <v>292</v>
      </c>
      <c r="C580" s="40" t="str">
        <f>IFERROR(VLOOKUP(B580,'Rekap Stock Barang'!$A$7:$G$153,2,0),"")</f>
        <v>Sambal Kuning</v>
      </c>
      <c r="D580" s="49">
        <v>1</v>
      </c>
      <c r="E580" s="26"/>
    </row>
    <row r="581" spans="1:5" ht="16.5" x14ac:dyDescent="0.2">
      <c r="A581" s="22"/>
      <c r="B581" s="49" t="s">
        <v>283</v>
      </c>
      <c r="C581" s="40" t="str">
        <f>IFERROR(VLOOKUP(B581,'Rekap Stock Barang'!$A$7:$G$153,2,0),"")</f>
        <v>Sambal Petis</v>
      </c>
      <c r="D581" s="49">
        <v>1</v>
      </c>
      <c r="E581" s="26"/>
    </row>
    <row r="582" spans="1:5" ht="16.5" x14ac:dyDescent="0.2">
      <c r="A582" s="22"/>
      <c r="B582" s="49" t="s">
        <v>188</v>
      </c>
      <c r="C582" s="40" t="str">
        <f>IFERROR(VLOOKUP(B582,'Rekap Stock Barang'!$A$7:$G$153,2,0),"")</f>
        <v xml:space="preserve">Mie Urai </v>
      </c>
      <c r="D582" s="49">
        <v>2</v>
      </c>
      <c r="E582" s="26"/>
    </row>
    <row r="583" spans="1:5" ht="16.5" x14ac:dyDescent="0.2">
      <c r="A583" s="22"/>
      <c r="B583" s="49" t="s">
        <v>263</v>
      </c>
      <c r="C583" s="40" t="str">
        <f>IFERROR(VLOOKUP(B583,'Rekap Stock Barang'!$A$7:$G$153,2,0),"")</f>
        <v>Sambal Terasi</v>
      </c>
      <c r="D583" s="49">
        <v>2</v>
      </c>
      <c r="E583" s="26"/>
    </row>
    <row r="584" spans="1:5" ht="16.5" x14ac:dyDescent="0.2">
      <c r="A584" s="22"/>
      <c r="B584" s="22" t="s">
        <v>201</v>
      </c>
      <c r="C584" s="40" t="str">
        <f>IFERROR(VLOOKUP(B584,'Rekap Stock Barang'!$A$7:$G$153,2,0),"")</f>
        <v xml:space="preserve">Soda Polaris </v>
      </c>
      <c r="D584" s="22">
        <v>2</v>
      </c>
      <c r="E584" s="26"/>
    </row>
    <row r="585" spans="1:5" ht="16.5" x14ac:dyDescent="0.2">
      <c r="A585" s="22"/>
      <c r="B585" s="22" t="s">
        <v>270</v>
      </c>
      <c r="C585" s="40" t="str">
        <f>IFERROR(VLOOKUP(B585,'Rekap Stock Barang'!$A$7:$G$153,2,0),"")</f>
        <v>Tissue Toilet</v>
      </c>
      <c r="D585" s="22">
        <v>2</v>
      </c>
      <c r="E585" s="26"/>
    </row>
    <row r="586" spans="1:5" ht="16.5" x14ac:dyDescent="0.2">
      <c r="A586" s="22"/>
      <c r="B586" s="22" t="s">
        <v>119</v>
      </c>
      <c r="C586" s="40" t="str">
        <f>IFERROR(VLOOKUP(B586,'Rekap Stock Barang'!$A$7:$G$153,2,0),"")</f>
        <v>Tepung Telur</v>
      </c>
      <c r="D586" s="22">
        <v>3</v>
      </c>
      <c r="E586" s="26"/>
    </row>
    <row r="587" spans="1:5" ht="16.5" x14ac:dyDescent="0.2">
      <c r="A587" s="22"/>
      <c r="B587" s="22" t="s">
        <v>312</v>
      </c>
      <c r="C587" s="40" t="str">
        <f>IFERROR(VLOOKUP(B587,'Rekap Stock Barang'!$A$7:$G$153,2,0),"")</f>
        <v>Sambal Terong</v>
      </c>
      <c r="D587" s="22">
        <v>1</v>
      </c>
      <c r="E587" s="26"/>
    </row>
    <row r="588" spans="1:5" ht="16.5" x14ac:dyDescent="0.2">
      <c r="A588" s="22"/>
      <c r="B588" s="22" t="s">
        <v>164</v>
      </c>
      <c r="C588" s="40" t="str">
        <f>IFERROR(VLOOKUP(B588,'Rekap Stock Barang'!$A$7:$G$153,2,0),"")</f>
        <v xml:space="preserve">Ekonomi </v>
      </c>
      <c r="D588" s="22">
        <v>5</v>
      </c>
      <c r="E588" s="26"/>
    </row>
    <row r="589" spans="1:5" ht="16.5" x14ac:dyDescent="0.2">
      <c r="A589" s="22"/>
      <c r="B589" s="22" t="s">
        <v>189</v>
      </c>
      <c r="C589" s="40" t="str">
        <f>IFERROR(VLOOKUP(B589,'Rekap Stock Barang'!$A$7:$G$153,2,0),"")</f>
        <v xml:space="preserve">Susu Evaporasi </v>
      </c>
      <c r="D589" s="22">
        <v>1</v>
      </c>
      <c r="E589" s="26"/>
    </row>
    <row r="590" spans="1:5" ht="16.5" x14ac:dyDescent="0.2">
      <c r="A590" s="28" t="s">
        <v>315</v>
      </c>
      <c r="B590" s="28" t="s">
        <v>236</v>
      </c>
      <c r="C590" s="74" t="str">
        <f>IFERROR(VLOOKUP(B590,'Rekap Stock Barang'!$A$7:$G$153,2,0),"")</f>
        <v xml:space="preserve">Paha Gurih Manis </v>
      </c>
      <c r="D590" s="28">
        <v>1</v>
      </c>
      <c r="E590" s="26"/>
    </row>
    <row r="591" spans="1:5" ht="16.5" x14ac:dyDescent="0.2">
      <c r="A591" s="22"/>
      <c r="B591" s="22" t="s">
        <v>127</v>
      </c>
      <c r="C591" s="40" t="str">
        <f>IFERROR(VLOOKUP(B591,'Rekap Stock Barang'!$A$7:$G$153,2,0),"")</f>
        <v>Vanilli</v>
      </c>
      <c r="D591" s="22">
        <v>1</v>
      </c>
      <c r="E591" s="26"/>
    </row>
    <row r="592" spans="1:5" ht="16.5" x14ac:dyDescent="0.2">
      <c r="A592" s="22"/>
      <c r="B592" s="22" t="s">
        <v>148</v>
      </c>
      <c r="C592" s="40" t="str">
        <f>IFERROR(VLOOKUP(B592,'Rekap Stock Barang'!$A$7:$G$153,2,0),"")</f>
        <v>Tissue Meja</v>
      </c>
      <c r="D592" s="22">
        <v>1</v>
      </c>
      <c r="E592" s="26"/>
    </row>
    <row r="593" spans="1:5" ht="16.5" x14ac:dyDescent="0.2">
      <c r="A593" s="22"/>
      <c r="B593" s="53" t="s">
        <v>130</v>
      </c>
      <c r="C593" s="54" t="str">
        <f>IFERROR(VLOOKUP(B593,'Rekap Stock Barang'!$A$7:$G$153,2,0),"")</f>
        <v>Plastik Sampah S</v>
      </c>
      <c r="D593" s="53">
        <v>4</v>
      </c>
      <c r="E593" s="26"/>
    </row>
    <row r="594" spans="1:5" ht="16.5" x14ac:dyDescent="0.2">
      <c r="A594" s="22"/>
      <c r="B594" s="53" t="s">
        <v>131</v>
      </c>
      <c r="C594" s="54" t="str">
        <f>IFERROR(VLOOKUP(B594,'Rekap Stock Barang'!$A$7:$G$153,2,0),"")</f>
        <v>Plastik Sampah M</v>
      </c>
      <c r="D594" s="53">
        <v>2</v>
      </c>
      <c r="E594" s="26"/>
    </row>
    <row r="595" spans="1:5" ht="16.5" x14ac:dyDescent="0.2">
      <c r="A595" s="22"/>
      <c r="B595" s="53" t="s">
        <v>132</v>
      </c>
      <c r="C595" s="54" t="str">
        <f>IFERROR(VLOOKUP(B595,'Rekap Stock Barang'!$A$7:$G$153,2,0),"")</f>
        <v>Plastik Sampah L</v>
      </c>
      <c r="D595" s="53">
        <v>2</v>
      </c>
      <c r="E595" s="26"/>
    </row>
    <row r="596" spans="1:5" ht="16.5" x14ac:dyDescent="0.2">
      <c r="A596" s="22"/>
      <c r="B596" s="53" t="s">
        <v>274</v>
      </c>
      <c r="C596" s="54" t="str">
        <f>IFERROR(VLOOKUP(B596,'Rekap Stock Barang'!$A$7:$G$153,2,0),"")</f>
        <v>Plastik Sampah XL</v>
      </c>
      <c r="D596" s="53">
        <v>2</v>
      </c>
      <c r="E596" s="26"/>
    </row>
    <row r="597" spans="1:5" ht="16.5" x14ac:dyDescent="0.2">
      <c r="A597" s="22"/>
      <c r="B597" s="55" t="s">
        <v>236</v>
      </c>
      <c r="C597" s="56" t="str">
        <f>IFERROR(VLOOKUP(B597,'Rekap Stock Barang'!$A$7:$G$153,2,0),"")</f>
        <v xml:space="preserve">Paha Gurih Manis </v>
      </c>
      <c r="D597" s="55">
        <v>7</v>
      </c>
      <c r="E597" s="26"/>
    </row>
    <row r="598" spans="1:5" ht="16.5" x14ac:dyDescent="0.2">
      <c r="A598" s="22"/>
      <c r="B598" s="55" t="s">
        <v>241</v>
      </c>
      <c r="C598" s="56" t="str">
        <f>IFERROR(VLOOKUP(B598,'Rekap Stock Barang'!$A$7:$G$153,2,0),"")</f>
        <v>Dada Gurih Manis</v>
      </c>
      <c r="D598" s="55">
        <v>3</v>
      </c>
      <c r="E598" s="26"/>
    </row>
    <row r="599" spans="1:5" ht="16.5" x14ac:dyDescent="0.2">
      <c r="A599" s="22"/>
      <c r="B599" s="55" t="s">
        <v>16</v>
      </c>
      <c r="C599" s="56" t="str">
        <f>IFERROR(VLOOKUP(B599,'Rekap Stock Barang'!$A$7:$G$153,2,0),"")</f>
        <v>Paha</v>
      </c>
      <c r="D599" s="55">
        <v>13</v>
      </c>
      <c r="E599" s="26"/>
    </row>
    <row r="600" spans="1:5" ht="16.5" x14ac:dyDescent="0.2">
      <c r="A600" s="22"/>
      <c r="B600" s="55" t="s">
        <v>19</v>
      </c>
      <c r="C600" s="56" t="str">
        <f>IFERROR(VLOOKUP(B600,'Rekap Stock Barang'!$A$7:$G$153,2,0),"")</f>
        <v>Dada</v>
      </c>
      <c r="D600" s="55">
        <v>10</v>
      </c>
      <c r="E600" s="26"/>
    </row>
    <row r="601" spans="1:5" ht="16.5" x14ac:dyDescent="0.2">
      <c r="A601" s="22"/>
      <c r="B601" s="55" t="s">
        <v>8</v>
      </c>
      <c r="C601" s="56" t="str">
        <f>IFERROR(VLOOKUP(B601,'Rekap Stock Barang'!$A$7:$G$153,2,0),"")</f>
        <v xml:space="preserve">Ayam Suwir </v>
      </c>
      <c r="D601" s="55">
        <v>25</v>
      </c>
      <c r="E601" s="26"/>
    </row>
    <row r="602" spans="1:5" ht="16.5" x14ac:dyDescent="0.2">
      <c r="A602" s="22"/>
      <c r="B602" s="55" t="s">
        <v>9</v>
      </c>
      <c r="C602" s="56" t="str">
        <f>IFERROR(VLOOKUP(B602,'Rekap Stock Barang'!$A$7:$G$153,2,0),"")</f>
        <v xml:space="preserve">Topping Kwetiau </v>
      </c>
      <c r="D602" s="55">
        <v>10</v>
      </c>
      <c r="E602" s="26"/>
    </row>
    <row r="603" spans="1:5" ht="16.5" x14ac:dyDescent="0.2">
      <c r="A603" s="22"/>
      <c r="B603" s="55" t="s">
        <v>243</v>
      </c>
      <c r="C603" s="56" t="str">
        <f>IFERROR(VLOOKUP(B603,'Rekap Stock Barang'!$A$7:$G$153,2,0),"")</f>
        <v xml:space="preserve">Daging Slice </v>
      </c>
      <c r="D603" s="55">
        <v>3</v>
      </c>
      <c r="E603" s="26"/>
    </row>
    <row r="604" spans="1:5" ht="16.5" x14ac:dyDescent="0.2">
      <c r="A604" s="22"/>
      <c r="B604" s="55" t="s">
        <v>14</v>
      </c>
      <c r="C604" s="56" t="str">
        <f>IFERROR(VLOOKUP(B604,'Rekap Stock Barang'!$A$7:$G$153,2,0),"")</f>
        <v>Ayam Jamur</v>
      </c>
      <c r="D604" s="55">
        <v>9</v>
      </c>
      <c r="E604" s="26"/>
    </row>
    <row r="605" spans="1:5" ht="16.5" x14ac:dyDescent="0.2">
      <c r="A605" s="22"/>
      <c r="B605" s="55" t="s">
        <v>20</v>
      </c>
      <c r="C605" s="56" t="str">
        <f>IFERROR(VLOOKUP(B605,'Rekap Stock Barang'!$A$7:$G$153,2,0),"")</f>
        <v>Cumi</v>
      </c>
      <c r="D605" s="55">
        <v>9</v>
      </c>
      <c r="E605" s="26"/>
    </row>
    <row r="606" spans="1:5" ht="16.5" x14ac:dyDescent="0.2">
      <c r="A606" s="22"/>
      <c r="B606" s="55" t="s">
        <v>38</v>
      </c>
      <c r="C606" s="56" t="str">
        <f>IFERROR(VLOOKUP(B606,'Rekap Stock Barang'!$A$7:$G$153,2,0),"")</f>
        <v>Daging Sambal HIjau</v>
      </c>
      <c r="D606" s="55">
        <v>10</v>
      </c>
      <c r="E606" s="26"/>
    </row>
    <row r="607" spans="1:5" ht="16.5" x14ac:dyDescent="0.2">
      <c r="A607" s="22"/>
      <c r="B607" s="55" t="s">
        <v>22</v>
      </c>
      <c r="C607" s="56" t="str">
        <f>IFERROR(VLOOKUP(B607,'Rekap Stock Barang'!$A$7:$G$153,2,0),"")</f>
        <v>Kulit</v>
      </c>
      <c r="D607" s="55">
        <v>4</v>
      </c>
      <c r="E607" s="26"/>
    </row>
    <row r="608" spans="1:5" ht="16.5" x14ac:dyDescent="0.2">
      <c r="A608" s="22"/>
      <c r="B608" s="55" t="s">
        <v>28</v>
      </c>
      <c r="C608" s="56" t="str">
        <f>IFERROR(VLOOKUP(B608,'Rekap Stock Barang'!$A$7:$G$153,2,0),"")</f>
        <v xml:space="preserve">Topping Nasi Gila </v>
      </c>
      <c r="D608" s="55">
        <v>1</v>
      </c>
      <c r="E608" s="26"/>
    </row>
    <row r="609" spans="1:5" ht="16.5" x14ac:dyDescent="0.2">
      <c r="A609" s="22"/>
      <c r="B609" s="55" t="s">
        <v>24</v>
      </c>
      <c r="C609" s="56" t="str">
        <f>IFERROR(VLOOKUP(B609,'Rekap Stock Barang'!$A$7:$G$153,2,0),"")</f>
        <v xml:space="preserve">Lidah </v>
      </c>
      <c r="D609" s="55">
        <v>10</v>
      </c>
      <c r="E609" s="26"/>
    </row>
    <row r="610" spans="1:5" ht="16.5" x14ac:dyDescent="0.2">
      <c r="A610" s="22"/>
      <c r="B610" s="55" t="s">
        <v>288</v>
      </c>
      <c r="C610" s="56" t="str">
        <f>IFERROR(VLOOKUP(B610,'Rekap Stock Barang'!$A$7:$G$153,2,0),"")</f>
        <v>Pete</v>
      </c>
      <c r="D610" s="55">
        <v>0</v>
      </c>
      <c r="E610" s="26"/>
    </row>
    <row r="611" spans="1:5" ht="16.5" x14ac:dyDescent="0.2">
      <c r="A611" s="22"/>
      <c r="B611" s="55" t="s">
        <v>275</v>
      </c>
      <c r="C611" s="56" t="str">
        <f>IFERROR(VLOOKUP(B611,'Rekap Stock Barang'!$A$7:$G$153,2,0),"")</f>
        <v xml:space="preserve">Teri Pete </v>
      </c>
      <c r="D611" s="55">
        <v>1</v>
      </c>
      <c r="E611" s="26"/>
    </row>
    <row r="612" spans="1:5" ht="16.5" x14ac:dyDescent="0.2">
      <c r="A612" s="22"/>
      <c r="B612" s="55" t="s">
        <v>10</v>
      </c>
      <c r="C612" s="56" t="str">
        <f>IFERROR(VLOOKUP(B612,'Rekap Stock Barang'!$A$7:$G$153,2,0),"")</f>
        <v>Topping Mbakmoy</v>
      </c>
      <c r="D612" s="55">
        <v>5</v>
      </c>
      <c r="E612" s="26"/>
    </row>
    <row r="613" spans="1:5" ht="16.5" x14ac:dyDescent="0.2">
      <c r="A613" s="22"/>
      <c r="B613" s="55" t="s">
        <v>276</v>
      </c>
      <c r="C613" s="56" t="str">
        <f>IFERROR(VLOOKUP(B613,'Rekap Stock Barang'!$A$7:$G$153,2,0),"")</f>
        <v>Sambal Baby Cumi</v>
      </c>
      <c r="D613" s="55">
        <v>11</v>
      </c>
      <c r="E613" s="26"/>
    </row>
    <row r="614" spans="1:5" ht="16.5" x14ac:dyDescent="0.2">
      <c r="A614" s="22"/>
      <c r="B614" s="57" t="s">
        <v>31</v>
      </c>
      <c r="C614" s="58" t="str">
        <f>IFERROR(VLOOKUP(B614,'Rekap Stock Barang'!$A$7:$G$153,2,0),"")</f>
        <v>Bagor</v>
      </c>
      <c r="D614" s="57">
        <v>7</v>
      </c>
      <c r="E614" s="26"/>
    </row>
    <row r="615" spans="1:5" ht="16.5" x14ac:dyDescent="0.2">
      <c r="A615" s="22"/>
      <c r="B615" s="57" t="s">
        <v>178</v>
      </c>
      <c r="C615" s="58" t="str">
        <f>IFERROR(VLOOKUP(B615,'Rekap Stock Barang'!$A$7:$G$153,2,0),"")</f>
        <v xml:space="preserve">Cireng </v>
      </c>
      <c r="D615" s="57">
        <v>1</v>
      </c>
      <c r="E615" s="26"/>
    </row>
    <row r="616" spans="1:5" ht="16.5" x14ac:dyDescent="0.2">
      <c r="A616" s="22"/>
      <c r="B616" s="57" t="s">
        <v>238</v>
      </c>
      <c r="C616" s="58" t="str">
        <f>IFERROR(VLOOKUP(B616,'Rekap Stock Barang'!$A$7:$G$153,2,0),"")</f>
        <v>Sayap Goreng</v>
      </c>
      <c r="D616" s="57">
        <v>3</v>
      </c>
      <c r="E616" s="26"/>
    </row>
    <row r="617" spans="1:5" ht="16.5" x14ac:dyDescent="0.2">
      <c r="A617" s="22"/>
      <c r="B617" s="59" t="s">
        <v>175</v>
      </c>
      <c r="C617" s="60" t="str">
        <f>IFERROR(VLOOKUP(B617,'Rekap Stock Barang'!$A$7:$G$153,2,0),"")</f>
        <v>Mineral</v>
      </c>
      <c r="D617" s="59">
        <v>38</v>
      </c>
      <c r="E617" s="26"/>
    </row>
    <row r="618" spans="1:5" ht="16.5" x14ac:dyDescent="0.2">
      <c r="A618" s="22"/>
      <c r="B618" s="59" t="s">
        <v>170</v>
      </c>
      <c r="C618" s="60" t="str">
        <f>IFERROR(VLOOKUP(B618,'Rekap Stock Barang'!$A$7:$G$153,2,0),"")</f>
        <v>Air Tahu</v>
      </c>
      <c r="D618" s="59">
        <v>3</v>
      </c>
      <c r="E618" s="26"/>
    </row>
    <row r="619" spans="1:5" ht="16.5" x14ac:dyDescent="0.2">
      <c r="A619" s="22"/>
      <c r="B619" s="59" t="s">
        <v>229</v>
      </c>
      <c r="C619" s="60" t="str">
        <f>IFERROR(VLOOKUP(B619,'Rekap Stock Barang'!$A$7:$G$153,2,0),"")</f>
        <v xml:space="preserve">Manggo Juice </v>
      </c>
      <c r="D619" s="59">
        <v>1</v>
      </c>
      <c r="E619" s="26"/>
    </row>
    <row r="620" spans="1:5" ht="16.5" x14ac:dyDescent="0.2">
      <c r="A620" s="22"/>
      <c r="B620" s="59" t="s">
        <v>226</v>
      </c>
      <c r="C620" s="60" t="str">
        <f>IFERROR(VLOOKUP(B620,'Rekap Stock Barang'!$A$7:$G$153,2,0),"")</f>
        <v>Mix Berries</v>
      </c>
      <c r="D620" s="59">
        <v>2</v>
      </c>
      <c r="E620" s="26"/>
    </row>
    <row r="621" spans="1:5" ht="16.5" x14ac:dyDescent="0.2">
      <c r="A621" s="22"/>
      <c r="B621" s="70" t="s">
        <v>202</v>
      </c>
      <c r="C621" s="60" t="str">
        <f>IFERROR(VLOOKUP(B621,'Rekap Stock Barang'!$A$7:$G$153,2,0),"")</f>
        <v xml:space="preserve">Zoda Water </v>
      </c>
      <c r="D621" s="70">
        <v>0</v>
      </c>
      <c r="E621" s="26"/>
    </row>
    <row r="622" spans="1:5" ht="17.25" thickBot="1" x14ac:dyDescent="0.25">
      <c r="A622" s="61"/>
      <c r="B622" s="62" t="s">
        <v>223</v>
      </c>
      <c r="C622" s="63" t="str">
        <f>IFERROR(VLOOKUP(B622,'Rekap Stock Barang'!$A$7:$G$153,2,0),"")</f>
        <v>Sirsak Juice</v>
      </c>
      <c r="D622" s="62">
        <v>1</v>
      </c>
      <c r="E622" s="26"/>
    </row>
    <row r="623" spans="1:5" ht="16.5" x14ac:dyDescent="0.2">
      <c r="A623" s="21">
        <v>46279</v>
      </c>
      <c r="B623" s="49" t="s">
        <v>246</v>
      </c>
      <c r="C623" s="40" t="str">
        <f>IFERROR(VLOOKUP(B623,'Rekap Stock Barang'!$A$7:$G$153,2,0),"")</f>
        <v>Sunquick Manggo</v>
      </c>
      <c r="D623" s="49">
        <v>1</v>
      </c>
      <c r="E623" s="26"/>
    </row>
    <row r="624" spans="1:5" ht="16.5" x14ac:dyDescent="0.2">
      <c r="A624" s="22"/>
      <c r="B624" s="49" t="s">
        <v>281</v>
      </c>
      <c r="C624" s="40" t="str">
        <f>IFERROR(VLOOKUP(B624,'Rekap Stock Barang'!$A$7:$G$153,2,0),"")</f>
        <v>Diamond Milk</v>
      </c>
      <c r="D624" s="49">
        <v>1</v>
      </c>
      <c r="E624" s="26"/>
    </row>
    <row r="625" spans="1:5" ht="16.5" x14ac:dyDescent="0.2">
      <c r="A625" s="22"/>
      <c r="B625" s="49" t="s">
        <v>204</v>
      </c>
      <c r="C625" s="40" t="str">
        <f>IFERROR(VLOOKUP(B625,'Rekap Stock Barang'!$A$7:$G$153,2,0),"")</f>
        <v xml:space="preserve">Gula </v>
      </c>
      <c r="D625" s="49">
        <v>1</v>
      </c>
      <c r="E625" s="26"/>
    </row>
    <row r="626" spans="1:5" ht="16.5" x14ac:dyDescent="0.2">
      <c r="A626" s="22"/>
      <c r="B626" s="49" t="s">
        <v>189</v>
      </c>
      <c r="C626" s="40" t="str">
        <f>IFERROR(VLOOKUP(B626,'Rekap Stock Barang'!$A$7:$G$153,2,0),"")</f>
        <v xml:space="preserve">Susu Evaporasi </v>
      </c>
      <c r="D626" s="49">
        <v>1</v>
      </c>
      <c r="E626" s="26"/>
    </row>
    <row r="627" spans="1:5" ht="16.5" x14ac:dyDescent="0.2">
      <c r="A627" s="22"/>
      <c r="B627" s="49" t="s">
        <v>293</v>
      </c>
      <c r="C627" s="40" t="str">
        <f>IFERROR(VLOOKUP(B627,'Rekap Stock Barang'!$A$7:$G$153,2,0),"")</f>
        <v>Susu Kental Manis Carnation</v>
      </c>
      <c r="D627" s="49">
        <v>1</v>
      </c>
      <c r="E627" s="26"/>
    </row>
    <row r="628" spans="1:5" ht="16.5" x14ac:dyDescent="0.2">
      <c r="A628" s="22"/>
      <c r="B628" s="49" t="s">
        <v>213</v>
      </c>
      <c r="C628" s="40" t="str">
        <f>IFERROR(VLOOKUP(B628,'Rekap Stock Barang'!$A$7:$G$153,2,0),"")</f>
        <v xml:space="preserve">Nurtijel Plain </v>
      </c>
      <c r="D628" s="49">
        <v>1</v>
      </c>
      <c r="E628" s="26"/>
    </row>
    <row r="629" spans="1:5" ht="16.5" x14ac:dyDescent="0.2">
      <c r="A629" s="22"/>
      <c r="B629" s="49" t="s">
        <v>290</v>
      </c>
      <c r="C629" s="40" t="str">
        <f>IFERROR(VLOOKUP(B629,'Rekap Stock Barang'!$A$7:$G$153,2,0),"")</f>
        <v>Bumbu Serundeng</v>
      </c>
      <c r="D629" s="49">
        <v>5</v>
      </c>
      <c r="E629" s="26"/>
    </row>
    <row r="630" spans="1:5" ht="16.5" x14ac:dyDescent="0.2">
      <c r="A630" s="22"/>
      <c r="B630" s="49" t="s">
        <v>279</v>
      </c>
      <c r="C630" s="40" t="str">
        <f>IFERROR(VLOOKUP(B630,'Rekap Stock Barang'!$A$7:$G$153,2,0),"")</f>
        <v>Lidah Goreng Segara</v>
      </c>
      <c r="D630" s="49">
        <v>11</v>
      </c>
      <c r="E630" s="26"/>
    </row>
    <row r="631" spans="1:5" ht="16.5" x14ac:dyDescent="0.2">
      <c r="A631" s="22"/>
      <c r="B631" s="49" t="s">
        <v>164</v>
      </c>
      <c r="C631" s="40" t="str">
        <f>IFERROR(VLOOKUP(B631,'Rekap Stock Barang'!$A$7:$G$153,2,0),"")</f>
        <v xml:space="preserve">Ekonomi </v>
      </c>
      <c r="D631" s="49">
        <v>2</v>
      </c>
      <c r="E631" s="26"/>
    </row>
    <row r="632" spans="1:5" ht="16.5" x14ac:dyDescent="0.2">
      <c r="A632" s="22"/>
      <c r="B632" s="49" t="s">
        <v>32</v>
      </c>
      <c r="C632" s="40" t="str">
        <f>IFERROR(VLOOKUP(B632,'Rekap Stock Barang'!$A$7:$G$153,2,0),"")</f>
        <v>Bumbu Segara</v>
      </c>
      <c r="D632" s="49">
        <v>1</v>
      </c>
      <c r="E632" s="26"/>
    </row>
    <row r="633" spans="1:5" ht="16.5" x14ac:dyDescent="0.2">
      <c r="A633" s="22"/>
      <c r="B633" s="49" t="s">
        <v>198</v>
      </c>
      <c r="C633" s="40" t="str">
        <f>IFERROR(VLOOKUP(B633,'Rekap Stock Barang'!$A$7:$G$153,2,0),"")</f>
        <v>Dripp Lhychee</v>
      </c>
      <c r="D633" s="49">
        <v>1</v>
      </c>
      <c r="E633" s="26"/>
    </row>
    <row r="634" spans="1:5" ht="16.5" x14ac:dyDescent="0.2">
      <c r="A634" s="22"/>
      <c r="B634" s="22" t="s">
        <v>119</v>
      </c>
      <c r="C634" s="40" t="str">
        <f>IFERROR(VLOOKUP(B634,'Rekap Stock Barang'!$A$7:$G$153,2,0),"")</f>
        <v>Tepung Telur</v>
      </c>
      <c r="D634" s="22">
        <v>2</v>
      </c>
      <c r="E634" s="26"/>
    </row>
    <row r="635" spans="1:5" ht="16.5" x14ac:dyDescent="0.2">
      <c r="A635" s="22"/>
      <c r="B635" s="22" t="s">
        <v>188</v>
      </c>
      <c r="C635" s="40" t="str">
        <f>IFERROR(VLOOKUP(B635,'Rekap Stock Barang'!$A$7:$G$153,2,0),"")</f>
        <v xml:space="preserve">Mie Urai </v>
      </c>
      <c r="D635" s="22">
        <v>2</v>
      </c>
      <c r="E635" s="26"/>
    </row>
    <row r="636" spans="1:5" ht="16.5" x14ac:dyDescent="0.2">
      <c r="A636" s="22"/>
      <c r="B636" s="53" t="s">
        <v>130</v>
      </c>
      <c r="C636" s="54" t="str">
        <f>IFERROR(VLOOKUP(B636,'Rekap Stock Barang'!$A$7:$G$153,2,0),"")</f>
        <v>Plastik Sampah S</v>
      </c>
      <c r="D636" s="53">
        <v>2</v>
      </c>
      <c r="E636" s="26"/>
    </row>
    <row r="637" spans="1:5" ht="16.5" x14ac:dyDescent="0.2">
      <c r="A637" s="22"/>
      <c r="B637" s="53" t="s">
        <v>131</v>
      </c>
      <c r="C637" s="54" t="str">
        <f>IFERROR(VLOOKUP(B637,'Rekap Stock Barang'!$A$7:$G$153,2,0),"")</f>
        <v>Plastik Sampah M</v>
      </c>
      <c r="D637" s="53">
        <v>2</v>
      </c>
      <c r="E637" s="26"/>
    </row>
    <row r="638" spans="1:5" ht="16.5" x14ac:dyDescent="0.2">
      <c r="A638" s="22"/>
      <c r="B638" s="53" t="s">
        <v>132</v>
      </c>
      <c r="C638" s="54" t="str">
        <f>IFERROR(VLOOKUP(B638,'Rekap Stock Barang'!$A$7:$G$153,2,0),"")</f>
        <v>Plastik Sampah L</v>
      </c>
      <c r="D638" s="53">
        <v>1</v>
      </c>
      <c r="E638" s="26"/>
    </row>
    <row r="639" spans="1:5" ht="16.5" x14ac:dyDescent="0.2">
      <c r="A639" s="22"/>
      <c r="B639" s="53" t="s">
        <v>274</v>
      </c>
      <c r="C639" s="54" t="str">
        <f>IFERROR(VLOOKUP(B639,'Rekap Stock Barang'!$A$7:$G$153,2,0),"")</f>
        <v>Plastik Sampah XL</v>
      </c>
      <c r="D639" s="53">
        <v>0</v>
      </c>
      <c r="E639" s="26"/>
    </row>
    <row r="640" spans="1:5" ht="16.5" x14ac:dyDescent="0.2">
      <c r="A640" s="22"/>
      <c r="B640" s="55" t="s">
        <v>236</v>
      </c>
      <c r="C640" s="56" t="str">
        <f>IFERROR(VLOOKUP(B640,'Rekap Stock Barang'!$A$7:$G$153,2,0),"")</f>
        <v xml:space="preserve">Paha Gurih Manis </v>
      </c>
      <c r="D640" s="55">
        <v>4</v>
      </c>
      <c r="E640" s="26"/>
    </row>
    <row r="641" spans="1:5" ht="16.5" x14ac:dyDescent="0.2">
      <c r="A641" s="22"/>
      <c r="B641" s="55" t="s">
        <v>241</v>
      </c>
      <c r="C641" s="56" t="str">
        <f>IFERROR(VLOOKUP(B641,'Rekap Stock Barang'!$A$7:$G$153,2,0),"")</f>
        <v>Dada Gurih Manis</v>
      </c>
      <c r="D641" s="55">
        <v>1</v>
      </c>
      <c r="E641" s="26"/>
    </row>
    <row r="642" spans="1:5" ht="16.5" x14ac:dyDescent="0.2">
      <c r="A642" s="22"/>
      <c r="B642" s="55" t="s">
        <v>16</v>
      </c>
      <c r="C642" s="56" t="str">
        <f>IFERROR(VLOOKUP(B642,'Rekap Stock Barang'!$A$7:$G$153,2,0),"")</f>
        <v>Paha</v>
      </c>
      <c r="D642" s="55">
        <v>16</v>
      </c>
      <c r="E642" s="26"/>
    </row>
    <row r="643" spans="1:5" ht="16.5" x14ac:dyDescent="0.2">
      <c r="A643" s="22"/>
      <c r="B643" s="55" t="s">
        <v>19</v>
      </c>
      <c r="C643" s="56" t="str">
        <f>IFERROR(VLOOKUP(B643,'Rekap Stock Barang'!$A$7:$G$153,2,0),"")</f>
        <v>Dada</v>
      </c>
      <c r="D643" s="55">
        <v>8</v>
      </c>
      <c r="E643" s="26"/>
    </row>
    <row r="644" spans="1:5" ht="16.5" x14ac:dyDescent="0.2">
      <c r="A644" s="22"/>
      <c r="B644" s="55" t="s">
        <v>8</v>
      </c>
      <c r="C644" s="56" t="str">
        <f>IFERROR(VLOOKUP(B644,'Rekap Stock Barang'!$A$7:$G$153,2,0),"")</f>
        <v xml:space="preserve">Ayam Suwir </v>
      </c>
      <c r="D644" s="55">
        <v>8</v>
      </c>
      <c r="E644" s="26"/>
    </row>
    <row r="645" spans="1:5" ht="16.5" x14ac:dyDescent="0.2">
      <c r="A645" s="22"/>
      <c r="B645" s="55" t="s">
        <v>9</v>
      </c>
      <c r="C645" s="56" t="str">
        <f>IFERROR(VLOOKUP(B645,'Rekap Stock Barang'!$A$7:$G$153,2,0),"")</f>
        <v xml:space="preserve">Topping Kwetiau </v>
      </c>
      <c r="D645" s="55">
        <v>2</v>
      </c>
      <c r="E645" s="26"/>
    </row>
    <row r="646" spans="1:5" ht="16.5" x14ac:dyDescent="0.2">
      <c r="A646" s="22"/>
      <c r="B646" s="55" t="s">
        <v>243</v>
      </c>
      <c r="C646" s="56" t="str">
        <f>IFERROR(VLOOKUP(B646,'Rekap Stock Barang'!$A$7:$G$153,2,0),"")</f>
        <v xml:space="preserve">Daging Slice </v>
      </c>
      <c r="D646" s="55">
        <v>2</v>
      </c>
      <c r="E646" s="26"/>
    </row>
    <row r="647" spans="1:5" ht="16.5" x14ac:dyDescent="0.2">
      <c r="A647" s="22"/>
      <c r="B647" s="55" t="s">
        <v>14</v>
      </c>
      <c r="C647" s="56" t="str">
        <f>IFERROR(VLOOKUP(B647,'Rekap Stock Barang'!$A$7:$G$153,2,0),"")</f>
        <v>Ayam Jamur</v>
      </c>
      <c r="D647" s="55">
        <v>2</v>
      </c>
      <c r="E647" s="26"/>
    </row>
    <row r="648" spans="1:5" ht="16.5" x14ac:dyDescent="0.2">
      <c r="A648" s="22"/>
      <c r="B648" s="55" t="s">
        <v>20</v>
      </c>
      <c r="C648" s="56" t="str">
        <f>IFERROR(VLOOKUP(B648,'Rekap Stock Barang'!$A$7:$G$153,2,0),"")</f>
        <v>Cumi</v>
      </c>
      <c r="D648" s="55">
        <v>5</v>
      </c>
      <c r="E648" s="26"/>
    </row>
    <row r="649" spans="1:5" ht="16.5" x14ac:dyDescent="0.2">
      <c r="A649" s="22"/>
      <c r="B649" s="55" t="s">
        <v>38</v>
      </c>
      <c r="C649" s="56" t="str">
        <f>IFERROR(VLOOKUP(B649,'Rekap Stock Barang'!$A$7:$G$153,2,0),"")</f>
        <v>Daging Sambal HIjau</v>
      </c>
      <c r="D649" s="55">
        <v>2</v>
      </c>
      <c r="E649" s="26"/>
    </row>
    <row r="650" spans="1:5" ht="16.5" x14ac:dyDescent="0.2">
      <c r="A650" s="22"/>
      <c r="B650" s="55" t="s">
        <v>22</v>
      </c>
      <c r="C650" s="56" t="str">
        <f>IFERROR(VLOOKUP(B650,'Rekap Stock Barang'!$A$7:$G$153,2,0),"")</f>
        <v>Kulit</v>
      </c>
      <c r="D650" s="55">
        <v>2</v>
      </c>
      <c r="E650" s="26"/>
    </row>
    <row r="651" spans="1:5" ht="16.5" x14ac:dyDescent="0.2">
      <c r="A651" s="22"/>
      <c r="B651" s="55" t="s">
        <v>28</v>
      </c>
      <c r="C651" s="56" t="str">
        <f>IFERROR(VLOOKUP(B651,'Rekap Stock Barang'!$A$7:$G$153,2,0),"")</f>
        <v xml:space="preserve">Topping Nasi Gila </v>
      </c>
      <c r="D651" s="55">
        <v>1</v>
      </c>
      <c r="E651" s="26"/>
    </row>
    <row r="652" spans="1:5" ht="16.5" x14ac:dyDescent="0.2">
      <c r="A652" s="22"/>
      <c r="B652" s="55" t="s">
        <v>24</v>
      </c>
      <c r="C652" s="56" t="str">
        <f>IFERROR(VLOOKUP(B652,'Rekap Stock Barang'!$A$7:$G$153,2,0),"")</f>
        <v xml:space="preserve">Lidah </v>
      </c>
      <c r="D652" s="55">
        <v>7</v>
      </c>
      <c r="E652" s="26"/>
    </row>
    <row r="653" spans="1:5" ht="16.5" x14ac:dyDescent="0.2">
      <c r="A653" s="22"/>
      <c r="B653" s="55" t="s">
        <v>288</v>
      </c>
      <c r="C653" s="56" t="str">
        <f>IFERROR(VLOOKUP(B653,'Rekap Stock Barang'!$A$7:$G$153,2,0),"")</f>
        <v>Pete</v>
      </c>
      <c r="D653" s="55">
        <v>2</v>
      </c>
      <c r="E653" s="26"/>
    </row>
    <row r="654" spans="1:5" ht="16.5" x14ac:dyDescent="0.2">
      <c r="A654" s="22"/>
      <c r="B654" s="55" t="s">
        <v>275</v>
      </c>
      <c r="C654" s="56" t="str">
        <f>IFERROR(VLOOKUP(B654,'Rekap Stock Barang'!$A$7:$G$153,2,0),"")</f>
        <v xml:space="preserve">Teri Pete </v>
      </c>
      <c r="D654" s="55">
        <v>0</v>
      </c>
      <c r="E654" s="26"/>
    </row>
    <row r="655" spans="1:5" ht="16.5" x14ac:dyDescent="0.2">
      <c r="A655" s="22"/>
      <c r="B655" s="55" t="s">
        <v>10</v>
      </c>
      <c r="C655" s="56" t="str">
        <f>IFERROR(VLOOKUP(B655,'Rekap Stock Barang'!$A$7:$G$153,2,0),"")</f>
        <v>Topping Mbakmoy</v>
      </c>
      <c r="D655" s="55">
        <v>2</v>
      </c>
      <c r="E655" s="26"/>
    </row>
    <row r="656" spans="1:5" ht="16.5" x14ac:dyDescent="0.2">
      <c r="A656" s="22"/>
      <c r="B656" s="55" t="s">
        <v>276</v>
      </c>
      <c r="C656" s="56" t="str">
        <f>IFERROR(VLOOKUP(B656,'Rekap Stock Barang'!$A$7:$G$153,2,0),"")</f>
        <v>Sambal Baby Cumi</v>
      </c>
      <c r="D656" s="55">
        <v>9</v>
      </c>
      <c r="E656" s="26"/>
    </row>
    <row r="657" spans="1:5" ht="16.5" x14ac:dyDescent="0.2">
      <c r="A657" s="22"/>
      <c r="B657" s="57" t="s">
        <v>31</v>
      </c>
      <c r="C657" s="58" t="str">
        <f>IFERROR(VLOOKUP(B657,'Rekap Stock Barang'!$A$7:$G$153,2,0),"")</f>
        <v>Bagor</v>
      </c>
      <c r="D657" s="57">
        <v>6</v>
      </c>
      <c r="E657" s="26"/>
    </row>
    <row r="658" spans="1:5" ht="16.5" x14ac:dyDescent="0.2">
      <c r="A658" s="22"/>
      <c r="B658" s="57" t="s">
        <v>178</v>
      </c>
      <c r="C658" s="58" t="str">
        <f>IFERROR(VLOOKUP(B658,'Rekap Stock Barang'!$A$7:$G$153,2,0),"")</f>
        <v xml:space="preserve">Cireng </v>
      </c>
      <c r="D658" s="57">
        <v>1</v>
      </c>
      <c r="E658" s="26"/>
    </row>
    <row r="659" spans="1:5" ht="16.5" x14ac:dyDescent="0.2">
      <c r="A659" s="22"/>
      <c r="B659" s="57" t="s">
        <v>238</v>
      </c>
      <c r="C659" s="58" t="str">
        <f>IFERROR(VLOOKUP(B659,'Rekap Stock Barang'!$A$7:$G$153,2,0),"")</f>
        <v>Sayap Goreng</v>
      </c>
      <c r="D659" s="57">
        <v>2</v>
      </c>
      <c r="E659" s="26"/>
    </row>
    <row r="660" spans="1:5" ht="16.5" x14ac:dyDescent="0.2">
      <c r="A660" s="22"/>
      <c r="B660" s="59" t="s">
        <v>175</v>
      </c>
      <c r="C660" s="60" t="str">
        <f>IFERROR(VLOOKUP(B660,'Rekap Stock Barang'!$A$7:$G$153,2,0),"")</f>
        <v>Mineral</v>
      </c>
      <c r="D660" s="59">
        <v>21</v>
      </c>
      <c r="E660" s="26"/>
    </row>
    <row r="661" spans="1:5" ht="16.5" x14ac:dyDescent="0.2">
      <c r="A661" s="22"/>
      <c r="B661" s="59" t="s">
        <v>170</v>
      </c>
      <c r="C661" s="60" t="str">
        <f>IFERROR(VLOOKUP(B661,'Rekap Stock Barang'!$A$7:$G$153,2,0),"")</f>
        <v>Air Tahu</v>
      </c>
      <c r="D661" s="59">
        <v>1</v>
      </c>
      <c r="E661" s="26"/>
    </row>
    <row r="662" spans="1:5" ht="16.5" x14ac:dyDescent="0.2">
      <c r="A662" s="22"/>
      <c r="B662" s="59" t="s">
        <v>229</v>
      </c>
      <c r="C662" s="60" t="str">
        <f>IFERROR(VLOOKUP(B662,'Rekap Stock Barang'!$A$7:$G$153,2,0),"")</f>
        <v xml:space="preserve">Manggo Juice </v>
      </c>
      <c r="D662" s="59">
        <v>0</v>
      </c>
      <c r="E662" s="26"/>
    </row>
    <row r="663" spans="1:5" ht="16.5" x14ac:dyDescent="0.2">
      <c r="A663" s="22"/>
      <c r="B663" s="59" t="s">
        <v>226</v>
      </c>
      <c r="C663" s="60" t="str">
        <f>IFERROR(VLOOKUP(B663,'Rekap Stock Barang'!$A$7:$G$153,2,0),"")</f>
        <v>Mix Berries</v>
      </c>
      <c r="D663" s="59">
        <v>2</v>
      </c>
      <c r="E663" s="26"/>
    </row>
    <row r="664" spans="1:5" ht="16.5" x14ac:dyDescent="0.2">
      <c r="A664" s="22"/>
      <c r="B664" s="70" t="s">
        <v>202</v>
      </c>
      <c r="C664" s="60" t="str">
        <f>IFERROR(VLOOKUP(B664,'Rekap Stock Barang'!$A$7:$G$153,2,0),"")</f>
        <v xml:space="preserve">Zoda Water </v>
      </c>
      <c r="D664" s="70">
        <v>0</v>
      </c>
      <c r="E664" s="26"/>
    </row>
    <row r="665" spans="1:5" ht="17.25" thickBot="1" x14ac:dyDescent="0.25">
      <c r="A665" s="61"/>
      <c r="B665" s="62" t="s">
        <v>223</v>
      </c>
      <c r="C665" s="63" t="str">
        <f>IFERROR(VLOOKUP(B665,'Rekap Stock Barang'!$A$7:$G$153,2,0),"")</f>
        <v>Sirsak Juice</v>
      </c>
      <c r="D665" s="62">
        <v>0</v>
      </c>
      <c r="E665" s="26"/>
    </row>
    <row r="666" spans="1:5" ht="16.5" x14ac:dyDescent="0.2">
      <c r="A666" s="68">
        <v>46280</v>
      </c>
      <c r="B666" s="49" t="s">
        <v>34</v>
      </c>
      <c r="C666" s="40" t="str">
        <f>IFERROR(VLOOKUP(B666,'Rekap Stock Barang'!$A$7:$G$153,2,0),"")</f>
        <v xml:space="preserve">Bumbu Lidah </v>
      </c>
      <c r="D666" s="49">
        <v>1</v>
      </c>
      <c r="E666" s="26"/>
    </row>
    <row r="667" spans="1:5" ht="16.5" x14ac:dyDescent="0.2">
      <c r="A667" s="22"/>
      <c r="B667" s="49" t="s">
        <v>282</v>
      </c>
      <c r="C667" s="40" t="str">
        <f>IFERROR(VLOOKUP(B667,'Rekap Stock Barang'!$A$7:$G$153,2,0),"")</f>
        <v>Bumbu Kwetiau</v>
      </c>
      <c r="D667" s="49">
        <v>1</v>
      </c>
      <c r="E667" s="26"/>
    </row>
    <row r="668" spans="1:5" ht="16.5" x14ac:dyDescent="0.2">
      <c r="A668" s="22"/>
      <c r="B668" s="49" t="s">
        <v>271</v>
      </c>
      <c r="C668" s="40" t="str">
        <f>IFERROR(VLOOKUP(B668,'Rekap Stock Barang'!$A$7:$G$153,2,0),"")</f>
        <v>Plastik Soup XS</v>
      </c>
      <c r="D668" s="49">
        <v>1</v>
      </c>
      <c r="E668" s="26"/>
    </row>
    <row r="669" spans="1:5" ht="16.5" x14ac:dyDescent="0.2">
      <c r="A669" s="22"/>
      <c r="B669" s="49" t="s">
        <v>273</v>
      </c>
      <c r="C669" s="40" t="str">
        <f>IFERROR(VLOOKUP(B669,'Rekap Stock Barang'!$A$7:$G$153,2,0),"")</f>
        <v>Sambal Bawang</v>
      </c>
      <c r="D669" s="49">
        <v>1</v>
      </c>
      <c r="E669" s="26"/>
    </row>
    <row r="670" spans="1:5" ht="16.5" x14ac:dyDescent="0.2">
      <c r="A670" s="22"/>
      <c r="B670" s="49" t="s">
        <v>299</v>
      </c>
      <c r="C670" s="40" t="str">
        <f>IFERROR(VLOOKUP(B670,'Rekap Stock Barang'!$A$7:$G$153,2,0),"")</f>
        <v>Plastik Bima uk24</v>
      </c>
      <c r="D670" s="49">
        <v>1</v>
      </c>
      <c r="E670" s="26"/>
    </row>
    <row r="671" spans="1:5" ht="16.5" x14ac:dyDescent="0.2">
      <c r="A671" s="22"/>
      <c r="B671" s="49" t="s">
        <v>270</v>
      </c>
      <c r="C671" s="40" t="str">
        <f>IFERROR(VLOOKUP(B671,'Rekap Stock Barang'!$A$7:$G$153,2,0),"")</f>
        <v>Tissue Toilet</v>
      </c>
      <c r="D671" s="49">
        <v>2</v>
      </c>
      <c r="E671" s="26"/>
    </row>
    <row r="672" spans="1:5" ht="16.5" x14ac:dyDescent="0.2">
      <c r="A672" s="22"/>
      <c r="B672" s="49" t="s">
        <v>164</v>
      </c>
      <c r="C672" s="40" t="str">
        <f>IFERROR(VLOOKUP(B672,'Rekap Stock Barang'!$A$7:$G$153,2,0),"")</f>
        <v xml:space="preserve">Ekonomi </v>
      </c>
      <c r="D672" s="49">
        <v>3</v>
      </c>
      <c r="E672" s="26"/>
    </row>
    <row r="673" spans="1:5" ht="16.5" x14ac:dyDescent="0.2">
      <c r="A673" s="22"/>
      <c r="B673" s="49" t="s">
        <v>283</v>
      </c>
      <c r="C673" s="40" t="str">
        <f>IFERROR(VLOOKUP(B673,'Rekap Stock Barang'!$A$7:$G$153,2,0),"")</f>
        <v>Sambal Petis</v>
      </c>
      <c r="D673" s="49">
        <v>1</v>
      </c>
      <c r="E673" s="26"/>
    </row>
    <row r="674" spans="1:5" ht="16.5" x14ac:dyDescent="0.2">
      <c r="A674" s="22"/>
      <c r="B674" s="49" t="s">
        <v>292</v>
      </c>
      <c r="C674" s="40" t="str">
        <f>IFERROR(VLOOKUP(B674,'Rekap Stock Barang'!$A$7:$G$153,2,0),"")</f>
        <v>Sambal Kuning</v>
      </c>
      <c r="D674" s="49">
        <v>1</v>
      </c>
      <c r="E674" s="26"/>
    </row>
    <row r="675" spans="1:5" ht="16.5" x14ac:dyDescent="0.2">
      <c r="A675" s="22"/>
      <c r="B675" s="49" t="s">
        <v>215</v>
      </c>
      <c r="C675" s="40" t="str">
        <f>IFERROR(VLOOKUP(B675,'Rekap Stock Barang'!$A$7:$G$153,2,0),"")</f>
        <v>Cup Ice</v>
      </c>
      <c r="D675" s="49">
        <v>1</v>
      </c>
      <c r="E675" s="26"/>
    </row>
    <row r="676" spans="1:5" ht="16.5" x14ac:dyDescent="0.2">
      <c r="A676" s="22"/>
      <c r="B676" s="49" t="s">
        <v>190</v>
      </c>
      <c r="C676" s="40" t="str">
        <f>IFERROR(VLOOKUP(B676,'Rekap Stock Barang'!$A$7:$G$153,2,0),"")</f>
        <v>Sun Cara 200Ml</v>
      </c>
      <c r="D676" s="49">
        <v>1</v>
      </c>
      <c r="E676" s="26"/>
    </row>
    <row r="677" spans="1:5" ht="16.5" x14ac:dyDescent="0.2">
      <c r="A677" s="28" t="s">
        <v>316</v>
      </c>
      <c r="B677" s="76" t="s">
        <v>268</v>
      </c>
      <c r="C677" s="74" t="str">
        <f>IFERROR(VLOOKUP(B677,'Rekap Stock Barang'!$A$7:$G$153,2,0),"")</f>
        <v>Dada Gurih Manis</v>
      </c>
      <c r="D677" s="76">
        <v>1</v>
      </c>
      <c r="E677" s="26"/>
    </row>
    <row r="678" spans="1:5" ht="16.5" x14ac:dyDescent="0.2">
      <c r="A678" s="22"/>
      <c r="B678" s="49" t="s">
        <v>95</v>
      </c>
      <c r="C678" s="40" t="str">
        <f>IFERROR(VLOOKUP(B678,'Rekap Stock Barang'!$A$7:$G$153,2,0),"")</f>
        <v>Kopi</v>
      </c>
      <c r="D678" s="49">
        <v>1</v>
      </c>
      <c r="E678" s="26"/>
    </row>
    <row r="679" spans="1:5" ht="16.5" x14ac:dyDescent="0.2">
      <c r="A679" s="22"/>
      <c r="B679" s="49" t="s">
        <v>208</v>
      </c>
      <c r="C679" s="40" t="str">
        <f>IFERROR(VLOOKUP(B679,'Rekap Stock Barang'!$A$7:$G$153,2,0),"")</f>
        <v>Kecap Ikan Tipparos</v>
      </c>
      <c r="D679" s="49">
        <v>1</v>
      </c>
      <c r="E679" s="26"/>
    </row>
    <row r="680" spans="1:5" ht="16.5" x14ac:dyDescent="0.2">
      <c r="A680" s="22"/>
      <c r="B680" s="53" t="s">
        <v>130</v>
      </c>
      <c r="C680" s="54" t="str">
        <f>IFERROR(VLOOKUP(B680,'Rekap Stock Barang'!$A$7:$G$153,2,0),"")</f>
        <v>Plastik Sampah S</v>
      </c>
      <c r="D680" s="53">
        <v>4</v>
      </c>
      <c r="E680" s="26"/>
    </row>
    <row r="681" spans="1:5" ht="16.5" x14ac:dyDescent="0.2">
      <c r="A681" s="22"/>
      <c r="B681" s="53" t="s">
        <v>131</v>
      </c>
      <c r="C681" s="54" t="str">
        <f>IFERROR(VLOOKUP(B681,'Rekap Stock Barang'!$A$7:$G$153,2,0),"")</f>
        <v>Plastik Sampah M</v>
      </c>
      <c r="D681" s="53">
        <v>2</v>
      </c>
      <c r="E681" s="26"/>
    </row>
    <row r="682" spans="1:5" ht="16.5" x14ac:dyDescent="0.2">
      <c r="A682" s="22"/>
      <c r="B682" s="53" t="s">
        <v>132</v>
      </c>
      <c r="C682" s="54" t="str">
        <f>IFERROR(VLOOKUP(B682,'Rekap Stock Barang'!$A$7:$G$153,2,0),"")</f>
        <v>Plastik Sampah L</v>
      </c>
      <c r="D682" s="53">
        <v>1</v>
      </c>
      <c r="E682" s="26"/>
    </row>
    <row r="683" spans="1:5" ht="16.5" x14ac:dyDescent="0.2">
      <c r="A683" s="22"/>
      <c r="B683" s="53" t="s">
        <v>274</v>
      </c>
      <c r="C683" s="54" t="str">
        <f>IFERROR(VLOOKUP(B683,'Rekap Stock Barang'!$A$7:$G$153,2,0),"")</f>
        <v>Plastik Sampah XL</v>
      </c>
      <c r="D683" s="53">
        <v>0</v>
      </c>
      <c r="E683" s="26"/>
    </row>
    <row r="684" spans="1:5" ht="16.5" x14ac:dyDescent="0.2">
      <c r="A684" s="22"/>
      <c r="B684" s="55" t="s">
        <v>236</v>
      </c>
      <c r="C684" s="56" t="str">
        <f>IFERROR(VLOOKUP(B684,'Rekap Stock Barang'!$A$7:$G$153,2,0),"")</f>
        <v xml:space="preserve">Paha Gurih Manis </v>
      </c>
      <c r="D684" s="55">
        <v>4</v>
      </c>
      <c r="E684" s="26"/>
    </row>
    <row r="685" spans="1:5" ht="16.5" x14ac:dyDescent="0.2">
      <c r="A685" s="22"/>
      <c r="B685" s="55" t="s">
        <v>241</v>
      </c>
      <c r="C685" s="56" t="str">
        <f>IFERROR(VLOOKUP(B685,'Rekap Stock Barang'!$A$7:$G$153,2,0),"")</f>
        <v>Dada Gurih Manis</v>
      </c>
      <c r="D685" s="55">
        <v>3</v>
      </c>
      <c r="E685" s="26"/>
    </row>
    <row r="686" spans="1:5" ht="16.5" x14ac:dyDescent="0.2">
      <c r="A686" s="22"/>
      <c r="B686" s="55" t="s">
        <v>16</v>
      </c>
      <c r="C686" s="56" t="str">
        <f>IFERROR(VLOOKUP(B686,'Rekap Stock Barang'!$A$7:$G$153,2,0),"")</f>
        <v>Paha</v>
      </c>
      <c r="D686" s="55">
        <v>9</v>
      </c>
      <c r="E686" s="26"/>
    </row>
    <row r="687" spans="1:5" ht="16.5" x14ac:dyDescent="0.2">
      <c r="A687" s="22"/>
      <c r="B687" s="55" t="s">
        <v>19</v>
      </c>
      <c r="C687" s="56" t="str">
        <f>IFERROR(VLOOKUP(B687,'Rekap Stock Barang'!$A$7:$G$153,2,0),"")</f>
        <v>Dada</v>
      </c>
      <c r="D687" s="55">
        <v>5</v>
      </c>
      <c r="E687" s="26"/>
    </row>
    <row r="688" spans="1:5" ht="16.5" x14ac:dyDescent="0.2">
      <c r="A688" s="22"/>
      <c r="B688" s="55" t="s">
        <v>8</v>
      </c>
      <c r="C688" s="56" t="str">
        <f>IFERROR(VLOOKUP(B688,'Rekap Stock Barang'!$A$7:$G$153,2,0),"")</f>
        <v xml:space="preserve">Ayam Suwir </v>
      </c>
      <c r="D688" s="55">
        <v>9</v>
      </c>
      <c r="E688" s="26"/>
    </row>
    <row r="689" spans="1:5" ht="16.5" x14ac:dyDescent="0.2">
      <c r="A689" s="22"/>
      <c r="B689" s="55" t="s">
        <v>9</v>
      </c>
      <c r="C689" s="56" t="str">
        <f>IFERROR(VLOOKUP(B689,'Rekap Stock Barang'!$A$7:$G$153,2,0),"")</f>
        <v xml:space="preserve">Topping Kwetiau </v>
      </c>
      <c r="D689" s="55">
        <v>9</v>
      </c>
      <c r="E689" s="26"/>
    </row>
    <row r="690" spans="1:5" ht="16.5" x14ac:dyDescent="0.2">
      <c r="A690" s="22"/>
      <c r="B690" s="55" t="s">
        <v>243</v>
      </c>
      <c r="C690" s="56" t="str">
        <f>IFERROR(VLOOKUP(B690,'Rekap Stock Barang'!$A$7:$G$153,2,0),"")</f>
        <v xml:space="preserve">Daging Slice </v>
      </c>
      <c r="D690" s="55">
        <v>1</v>
      </c>
      <c r="E690" s="26"/>
    </row>
    <row r="691" spans="1:5" ht="16.5" x14ac:dyDescent="0.2">
      <c r="A691" s="22"/>
      <c r="B691" s="55" t="s">
        <v>14</v>
      </c>
      <c r="C691" s="56" t="str">
        <f>IFERROR(VLOOKUP(B691,'Rekap Stock Barang'!$A$7:$G$153,2,0),"")</f>
        <v>Ayam Jamur</v>
      </c>
      <c r="D691" s="55">
        <v>3</v>
      </c>
      <c r="E691" s="26"/>
    </row>
    <row r="692" spans="1:5" ht="16.5" x14ac:dyDescent="0.2">
      <c r="A692" s="22"/>
      <c r="B692" s="55" t="s">
        <v>20</v>
      </c>
      <c r="C692" s="56" t="str">
        <f>IFERROR(VLOOKUP(B692,'Rekap Stock Barang'!$A$7:$G$153,2,0),"")</f>
        <v>Cumi</v>
      </c>
      <c r="D692" s="55">
        <v>2</v>
      </c>
      <c r="E692" s="26"/>
    </row>
    <row r="693" spans="1:5" ht="16.5" x14ac:dyDescent="0.2">
      <c r="A693" s="22"/>
      <c r="B693" s="55" t="s">
        <v>38</v>
      </c>
      <c r="C693" s="56" t="str">
        <f>IFERROR(VLOOKUP(B693,'Rekap Stock Barang'!$A$7:$G$153,2,0),"")</f>
        <v>Daging Sambal HIjau</v>
      </c>
      <c r="D693" s="55">
        <v>1</v>
      </c>
      <c r="E693" s="26"/>
    </row>
    <row r="694" spans="1:5" ht="16.5" x14ac:dyDescent="0.2">
      <c r="A694" s="22"/>
      <c r="B694" s="55" t="s">
        <v>22</v>
      </c>
      <c r="C694" s="56" t="str">
        <f>IFERROR(VLOOKUP(B694,'Rekap Stock Barang'!$A$7:$G$153,2,0),"")</f>
        <v>Kulit</v>
      </c>
      <c r="D694" s="55">
        <v>3</v>
      </c>
      <c r="E694" s="26"/>
    </row>
    <row r="695" spans="1:5" ht="16.5" x14ac:dyDescent="0.2">
      <c r="A695" s="22"/>
      <c r="B695" s="55" t="s">
        <v>28</v>
      </c>
      <c r="C695" s="56" t="str">
        <f>IFERROR(VLOOKUP(B695,'Rekap Stock Barang'!$A$7:$G$153,2,0),"")</f>
        <v xml:space="preserve">Topping Nasi Gila </v>
      </c>
      <c r="D695" s="55">
        <v>2</v>
      </c>
      <c r="E695" s="26"/>
    </row>
    <row r="696" spans="1:5" ht="16.5" x14ac:dyDescent="0.2">
      <c r="A696" s="22"/>
      <c r="B696" s="55" t="s">
        <v>24</v>
      </c>
      <c r="C696" s="56" t="str">
        <f>IFERROR(VLOOKUP(B696,'Rekap Stock Barang'!$A$7:$G$153,2,0),"")</f>
        <v xml:space="preserve">Lidah </v>
      </c>
      <c r="D696" s="55">
        <v>3</v>
      </c>
      <c r="E696" s="26"/>
    </row>
    <row r="697" spans="1:5" ht="16.5" x14ac:dyDescent="0.2">
      <c r="A697" s="22"/>
      <c r="B697" s="55" t="s">
        <v>288</v>
      </c>
      <c r="C697" s="56" t="str">
        <f>IFERROR(VLOOKUP(B697,'Rekap Stock Barang'!$A$7:$G$153,2,0),"")</f>
        <v>Pete</v>
      </c>
      <c r="D697" s="55">
        <v>0</v>
      </c>
      <c r="E697" s="26"/>
    </row>
    <row r="698" spans="1:5" ht="16.5" x14ac:dyDescent="0.2">
      <c r="A698" s="22"/>
      <c r="B698" s="55" t="s">
        <v>275</v>
      </c>
      <c r="C698" s="56" t="str">
        <f>IFERROR(VLOOKUP(B698,'Rekap Stock Barang'!$A$7:$G$153,2,0),"")</f>
        <v xml:space="preserve">Teri Pete </v>
      </c>
      <c r="D698" s="55">
        <v>3</v>
      </c>
      <c r="E698" s="26"/>
    </row>
    <row r="699" spans="1:5" ht="16.5" x14ac:dyDescent="0.2">
      <c r="A699" s="22"/>
      <c r="B699" s="55" t="s">
        <v>279</v>
      </c>
      <c r="C699" s="56" t="str">
        <f>IFERROR(VLOOKUP(B699,'Rekap Stock Barang'!$A$7:$G$153,2,0),"")</f>
        <v>Lidah Goreng Segara</v>
      </c>
      <c r="D699" s="55">
        <v>5</v>
      </c>
      <c r="E699" s="26"/>
    </row>
    <row r="700" spans="1:5" ht="16.5" x14ac:dyDescent="0.2">
      <c r="A700" s="22"/>
      <c r="B700" s="55" t="s">
        <v>10</v>
      </c>
      <c r="C700" s="56" t="str">
        <f>IFERROR(VLOOKUP(B700,'Rekap Stock Barang'!$A$7:$G$153,2,0),"")</f>
        <v>Topping Mbakmoy</v>
      </c>
      <c r="D700" s="55">
        <v>1</v>
      </c>
      <c r="E700" s="26"/>
    </row>
    <row r="701" spans="1:5" ht="16.5" x14ac:dyDescent="0.2">
      <c r="A701" s="22"/>
      <c r="B701" s="55" t="s">
        <v>276</v>
      </c>
      <c r="C701" s="56" t="str">
        <f>IFERROR(VLOOKUP(B701,'Rekap Stock Barang'!$A$7:$G$153,2,0),"")</f>
        <v>Sambal Baby Cumi</v>
      </c>
      <c r="D701" s="55">
        <v>8</v>
      </c>
      <c r="E701" s="26"/>
    </row>
    <row r="702" spans="1:5" ht="16.5" x14ac:dyDescent="0.2">
      <c r="A702" s="22"/>
      <c r="B702" s="57" t="s">
        <v>31</v>
      </c>
      <c r="C702" s="58" t="str">
        <f>IFERROR(VLOOKUP(B702,'Rekap Stock Barang'!$A$7:$G$153,2,0),"")</f>
        <v>Bagor</v>
      </c>
      <c r="D702" s="57">
        <v>4</v>
      </c>
      <c r="E702" s="26"/>
    </row>
    <row r="703" spans="1:5" ht="13.5" customHeight="1" x14ac:dyDescent="0.2">
      <c r="A703" s="22"/>
      <c r="B703" s="57" t="s">
        <v>178</v>
      </c>
      <c r="C703" s="58" t="str">
        <f>IFERROR(VLOOKUP(B703,'Rekap Stock Barang'!$A$7:$G$153,2,0),"")</f>
        <v xml:space="preserve">Cireng </v>
      </c>
      <c r="D703" s="57">
        <v>2</v>
      </c>
      <c r="E703" s="26"/>
    </row>
    <row r="704" spans="1:5" ht="16.5" x14ac:dyDescent="0.2">
      <c r="A704" s="22"/>
      <c r="B704" s="57" t="s">
        <v>238</v>
      </c>
      <c r="C704" s="58" t="str">
        <f>IFERROR(VLOOKUP(B704,'Rekap Stock Barang'!$A$7:$G$153,2,0),"")</f>
        <v>Sayap Goreng</v>
      </c>
      <c r="D704" s="57">
        <v>5</v>
      </c>
      <c r="E704" s="26"/>
    </row>
    <row r="705" spans="1:5" ht="16.5" x14ac:dyDescent="0.2">
      <c r="A705" s="22"/>
      <c r="B705" s="59" t="s">
        <v>175</v>
      </c>
      <c r="C705" s="60" t="str">
        <f>IFERROR(VLOOKUP(B705,'Rekap Stock Barang'!$A$7:$G$153,2,0),"")</f>
        <v>Mineral</v>
      </c>
      <c r="D705" s="59">
        <v>25</v>
      </c>
      <c r="E705" s="26"/>
    </row>
    <row r="706" spans="1:5" ht="16.5" x14ac:dyDescent="0.2">
      <c r="A706" s="22"/>
      <c r="B706" s="59" t="s">
        <v>170</v>
      </c>
      <c r="C706" s="60" t="str">
        <f>IFERROR(VLOOKUP(B706,'Rekap Stock Barang'!$A$7:$G$153,2,0),"")</f>
        <v>Air Tahu</v>
      </c>
      <c r="D706" s="59">
        <v>5</v>
      </c>
      <c r="E706" s="26"/>
    </row>
    <row r="707" spans="1:5" ht="16.5" x14ac:dyDescent="0.2">
      <c r="A707" s="22"/>
      <c r="B707" s="59" t="s">
        <v>229</v>
      </c>
      <c r="C707" s="60" t="str">
        <f>IFERROR(VLOOKUP(B707,'Rekap Stock Barang'!$A$7:$G$153,2,0),"")</f>
        <v xml:space="preserve">Manggo Juice </v>
      </c>
      <c r="D707" s="59">
        <v>3</v>
      </c>
      <c r="E707" s="26"/>
    </row>
    <row r="708" spans="1:5" ht="16.5" x14ac:dyDescent="0.2">
      <c r="A708" s="22"/>
      <c r="B708" s="59" t="s">
        <v>226</v>
      </c>
      <c r="C708" s="60" t="str">
        <f>IFERROR(VLOOKUP(B708,'Rekap Stock Barang'!$A$7:$G$153,2,0),"")</f>
        <v>Mix Berries</v>
      </c>
      <c r="D708" s="59">
        <v>4</v>
      </c>
      <c r="E708" s="26"/>
    </row>
    <row r="709" spans="1:5" ht="16.5" x14ac:dyDescent="0.2">
      <c r="A709" s="22"/>
      <c r="B709" s="70" t="s">
        <v>202</v>
      </c>
      <c r="C709" s="60" t="str">
        <f>IFERROR(VLOOKUP(B709,'Rekap Stock Barang'!$A$7:$G$153,2,0),"")</f>
        <v xml:space="preserve">Zoda Water </v>
      </c>
      <c r="D709" s="70">
        <v>0</v>
      </c>
      <c r="E709" s="26"/>
    </row>
    <row r="710" spans="1:5" ht="17.25" thickBot="1" x14ac:dyDescent="0.25">
      <c r="A710" s="61"/>
      <c r="B710" s="62" t="s">
        <v>223</v>
      </c>
      <c r="C710" s="63" t="str">
        <f>IFERROR(VLOOKUP(B710,'Rekap Stock Barang'!$A$7:$G$153,2,0),"")</f>
        <v>Sirsak Juice</v>
      </c>
      <c r="D710" s="62">
        <v>1</v>
      </c>
      <c r="E710" s="26"/>
    </row>
    <row r="711" spans="1:5" ht="16.5" x14ac:dyDescent="0.2">
      <c r="A711" s="22"/>
      <c r="B711" s="49" t="s">
        <v>164</v>
      </c>
      <c r="C711" s="40" t="str">
        <f>IFERROR(VLOOKUP(B711,'Rekap Stock Barang'!$A$7:$G$153,2,0),"")</f>
        <v xml:space="preserve">Ekonomi </v>
      </c>
      <c r="D711" s="49">
        <v>4</v>
      </c>
      <c r="E711" s="26"/>
    </row>
    <row r="712" spans="1:5" ht="16.5" x14ac:dyDescent="0.2">
      <c r="A712" s="22"/>
      <c r="B712" s="49" t="s">
        <v>204</v>
      </c>
      <c r="C712" s="40" t="str">
        <f>IFERROR(VLOOKUP(B712,'Rekap Stock Barang'!$A$7:$G$153,2,0),"")</f>
        <v xml:space="preserve">Gula </v>
      </c>
      <c r="D712" s="49">
        <v>1</v>
      </c>
      <c r="E712" s="26"/>
    </row>
    <row r="713" spans="1:5" ht="16.5" x14ac:dyDescent="0.2">
      <c r="A713" s="22"/>
      <c r="B713" s="49" t="s">
        <v>196</v>
      </c>
      <c r="C713" s="40" t="str">
        <f>IFERROR(VLOOKUP(B713,'Rekap Stock Barang'!$A$7:$G$153,2,0),"")</f>
        <v xml:space="preserve">Dripp Butterschotch </v>
      </c>
      <c r="D713" s="49">
        <v>1</v>
      </c>
      <c r="E713" s="26"/>
    </row>
    <row r="714" spans="1:5" ht="16.5" x14ac:dyDescent="0.2">
      <c r="A714" s="22"/>
      <c r="B714" s="49" t="s">
        <v>119</v>
      </c>
      <c r="C714" s="40" t="str">
        <f>IFERROR(VLOOKUP(B714,'Rekap Stock Barang'!$A$7:$G$153,2,0),"")</f>
        <v>Tepung Telur</v>
      </c>
      <c r="D714" s="49">
        <v>2</v>
      </c>
      <c r="E714" s="26"/>
    </row>
    <row r="715" spans="1:5" ht="16.5" x14ac:dyDescent="0.2">
      <c r="A715" s="22"/>
      <c r="B715" s="49" t="s">
        <v>150</v>
      </c>
      <c r="C715" s="40" t="str">
        <f>IFERROR(VLOOKUP(B715,'Rekap Stock Barang'!$A$7:$G$153,2,0),"")</f>
        <v>Tissue Toilet</v>
      </c>
      <c r="D715" s="49">
        <v>1</v>
      </c>
      <c r="E715" s="26"/>
    </row>
    <row r="716" spans="1:5" ht="16.5" x14ac:dyDescent="0.2">
      <c r="A716" s="22"/>
      <c r="B716" s="49" t="s">
        <v>317</v>
      </c>
      <c r="C716" s="40" t="str">
        <f>IFERROR(VLOOKUP(B716,'Rekap Stock Barang'!$A$7:$G$153,2,0),"")</f>
        <v>Tissue Meja</v>
      </c>
      <c r="D716" s="49">
        <v>1</v>
      </c>
      <c r="E716" s="26"/>
    </row>
    <row r="717" spans="1:5" ht="16.5" x14ac:dyDescent="0.2">
      <c r="A717" s="22"/>
      <c r="B717" s="49" t="s">
        <v>318</v>
      </c>
      <c r="C717" s="40" t="str">
        <f>IFERROR(VLOOKUP(B717,'Rekap Stock Barang'!$A$7:$G$153,2,0),"")</f>
        <v>Bumbu Ungkep Lidah</v>
      </c>
      <c r="D717" s="49">
        <v>4</v>
      </c>
      <c r="E717" s="26"/>
    </row>
    <row r="718" spans="1:5" ht="16.5" x14ac:dyDescent="0.2">
      <c r="A718" s="22"/>
      <c r="B718" s="49" t="s">
        <v>263</v>
      </c>
      <c r="C718" s="40" t="str">
        <f>IFERROR(VLOOKUP(B718,'Rekap Stock Barang'!$A$7:$G$153,2,0),"")</f>
        <v>Sambal Terasi</v>
      </c>
      <c r="D718" s="49">
        <v>1</v>
      </c>
      <c r="E718" s="26"/>
    </row>
    <row r="719" spans="1:5" ht="16.5" x14ac:dyDescent="0.2">
      <c r="A719" s="22"/>
      <c r="B719" s="49" t="s">
        <v>290</v>
      </c>
      <c r="C719" s="40" t="str">
        <f>IFERROR(VLOOKUP(B719,'Rekap Stock Barang'!$A$7:$G$153,2,0),"")</f>
        <v>Bumbu Serundeng</v>
      </c>
      <c r="D719" s="49">
        <v>3</v>
      </c>
      <c r="E719" s="26"/>
    </row>
    <row r="720" spans="1:5" ht="16.5" x14ac:dyDescent="0.2">
      <c r="A720" s="22"/>
      <c r="B720" s="49" t="s">
        <v>273</v>
      </c>
      <c r="C720" s="40" t="str">
        <f>IFERROR(VLOOKUP(B720,'Rekap Stock Barang'!$A$7:$G$153,2,0),"")</f>
        <v>Sambal Bawang</v>
      </c>
      <c r="D720" s="49">
        <v>2</v>
      </c>
      <c r="E720" s="26"/>
    </row>
    <row r="721" spans="1:5" ht="16.5" x14ac:dyDescent="0.2">
      <c r="A721" s="22"/>
      <c r="B721" s="49" t="s">
        <v>199</v>
      </c>
      <c r="C721" s="40" t="str">
        <f>IFERROR(VLOOKUP(B721,'Rekap Stock Barang'!$A$7:$G$153,2,0),"")</f>
        <v>Ecolate Lemongrass</v>
      </c>
      <c r="D721" s="49">
        <v>1</v>
      </c>
      <c r="E721" s="26"/>
    </row>
    <row r="722" spans="1:5" ht="16.5" x14ac:dyDescent="0.2">
      <c r="A722" s="22"/>
      <c r="B722" s="49" t="s">
        <v>174</v>
      </c>
      <c r="C722" s="40" t="str">
        <f>IFERROR(VLOOKUP(B722,'Rekap Stock Barang'!$A$7:$G$153,2,0),"")</f>
        <v>Terasi</v>
      </c>
      <c r="D722" s="49">
        <v>35</v>
      </c>
      <c r="E722" s="26"/>
    </row>
    <row r="723" spans="1:5" ht="16.5" x14ac:dyDescent="0.2">
      <c r="A723" s="22"/>
      <c r="B723" s="53" t="s">
        <v>130</v>
      </c>
      <c r="C723" s="54" t="str">
        <f>IFERROR(VLOOKUP(B723,'Rekap Stock Barang'!$A$7:$G$153,2,0),"")</f>
        <v>Plastik Sampah S</v>
      </c>
      <c r="D723" s="53">
        <v>2</v>
      </c>
      <c r="E723" s="26"/>
    </row>
    <row r="724" spans="1:5" ht="16.5" x14ac:dyDescent="0.2">
      <c r="A724" s="22"/>
      <c r="B724" s="53" t="s">
        <v>131</v>
      </c>
      <c r="C724" s="54" t="str">
        <f>IFERROR(VLOOKUP(B724,'Rekap Stock Barang'!$A$7:$G$153,2,0),"")</f>
        <v>Plastik Sampah M</v>
      </c>
      <c r="D724" s="53">
        <v>2</v>
      </c>
      <c r="E724" s="26"/>
    </row>
    <row r="725" spans="1:5" ht="16.5" x14ac:dyDescent="0.2">
      <c r="A725" s="22"/>
      <c r="B725" s="53" t="s">
        <v>132</v>
      </c>
      <c r="C725" s="54" t="str">
        <f>IFERROR(VLOOKUP(B725,'Rekap Stock Barang'!$A$7:$G$153,2,0),"")</f>
        <v>Plastik Sampah L</v>
      </c>
      <c r="D725" s="53">
        <v>1</v>
      </c>
      <c r="E725" s="26"/>
    </row>
    <row r="726" spans="1:5" ht="16.5" x14ac:dyDescent="0.2">
      <c r="A726" s="22"/>
      <c r="B726" s="53" t="s">
        <v>274</v>
      </c>
      <c r="C726" s="54" t="str">
        <f>IFERROR(VLOOKUP(B726,'Rekap Stock Barang'!$A$7:$G$153,2,0),"")</f>
        <v>Plastik Sampah XL</v>
      </c>
      <c r="D726" s="53">
        <v>1</v>
      </c>
      <c r="E726" s="26"/>
    </row>
    <row r="727" spans="1:5" ht="16.5" x14ac:dyDescent="0.2">
      <c r="A727" s="22"/>
      <c r="B727" s="55" t="s">
        <v>236</v>
      </c>
      <c r="C727" s="56" t="str">
        <f>IFERROR(VLOOKUP(B727,'Rekap Stock Barang'!$A$7:$G$153,2,0),"")</f>
        <v xml:space="preserve">Paha Gurih Manis </v>
      </c>
      <c r="D727" s="55">
        <v>3</v>
      </c>
      <c r="E727" s="26"/>
    </row>
    <row r="728" spans="1:5" ht="16.5" x14ac:dyDescent="0.2">
      <c r="A728" s="22"/>
      <c r="B728" s="55" t="s">
        <v>241</v>
      </c>
      <c r="C728" s="56" t="str">
        <f>IFERROR(VLOOKUP(B728,'Rekap Stock Barang'!$A$7:$G$153,2,0),"")</f>
        <v>Dada Gurih Manis</v>
      </c>
      <c r="D728" s="55">
        <v>0</v>
      </c>
      <c r="E728" s="26"/>
    </row>
    <row r="729" spans="1:5" ht="16.5" x14ac:dyDescent="0.2">
      <c r="A729" s="22"/>
      <c r="B729" s="55" t="s">
        <v>16</v>
      </c>
      <c r="C729" s="56" t="str">
        <f>IFERROR(VLOOKUP(B729,'Rekap Stock Barang'!$A$7:$G$153,2,0),"")</f>
        <v>Paha</v>
      </c>
      <c r="D729" s="55">
        <v>9</v>
      </c>
      <c r="E729" s="26"/>
    </row>
    <row r="730" spans="1:5" ht="16.5" x14ac:dyDescent="0.2">
      <c r="A730" s="22"/>
      <c r="B730" s="55" t="s">
        <v>19</v>
      </c>
      <c r="C730" s="56" t="str">
        <f>IFERROR(VLOOKUP(B730,'Rekap Stock Barang'!$A$7:$G$153,2,0),"")</f>
        <v>Dada</v>
      </c>
      <c r="D730" s="55">
        <v>6</v>
      </c>
      <c r="E730" s="26"/>
    </row>
    <row r="731" spans="1:5" ht="16.5" x14ac:dyDescent="0.2">
      <c r="A731" s="22"/>
      <c r="B731" s="55" t="s">
        <v>8</v>
      </c>
      <c r="C731" s="56" t="str">
        <f>IFERROR(VLOOKUP(B731,'Rekap Stock Barang'!$A$7:$G$153,2,0),"")</f>
        <v xml:space="preserve">Ayam Suwir </v>
      </c>
      <c r="D731" s="55">
        <v>6</v>
      </c>
      <c r="E731" s="26"/>
    </row>
    <row r="732" spans="1:5" ht="16.5" x14ac:dyDescent="0.2">
      <c r="A732" s="22"/>
      <c r="B732" s="55" t="s">
        <v>9</v>
      </c>
      <c r="C732" s="56" t="str">
        <f>IFERROR(VLOOKUP(B732,'Rekap Stock Barang'!$A$7:$G$153,2,0),"")</f>
        <v xml:space="preserve">Topping Kwetiau </v>
      </c>
      <c r="D732" s="55">
        <v>5</v>
      </c>
      <c r="E732" s="26"/>
    </row>
    <row r="733" spans="1:5" ht="16.5" x14ac:dyDescent="0.2">
      <c r="A733" s="22"/>
      <c r="B733" s="55" t="s">
        <v>243</v>
      </c>
      <c r="C733" s="56" t="str">
        <f>IFERROR(VLOOKUP(B733,'Rekap Stock Barang'!$A$7:$G$153,2,0),"")</f>
        <v xml:space="preserve">Daging Slice </v>
      </c>
      <c r="D733" s="55">
        <v>0</v>
      </c>
      <c r="E733" s="26"/>
    </row>
    <row r="734" spans="1:5" ht="16.5" x14ac:dyDescent="0.2">
      <c r="A734" s="22"/>
      <c r="B734" s="55" t="s">
        <v>14</v>
      </c>
      <c r="C734" s="56" t="str">
        <f>IFERROR(VLOOKUP(B734,'Rekap Stock Barang'!$A$7:$G$153,2,0),"")</f>
        <v>Ayam Jamur</v>
      </c>
      <c r="D734" s="55">
        <v>5</v>
      </c>
      <c r="E734" s="26"/>
    </row>
    <row r="735" spans="1:5" ht="16.5" x14ac:dyDescent="0.2">
      <c r="A735" s="22"/>
      <c r="B735" s="55" t="s">
        <v>20</v>
      </c>
      <c r="C735" s="56" t="str">
        <f>IFERROR(VLOOKUP(B735,'Rekap Stock Barang'!$A$7:$G$153,2,0),"")</f>
        <v>Cumi</v>
      </c>
      <c r="D735" s="55">
        <v>4</v>
      </c>
      <c r="E735" s="26"/>
    </row>
    <row r="736" spans="1:5" ht="16.5" x14ac:dyDescent="0.2">
      <c r="A736" s="22"/>
      <c r="B736" s="55" t="s">
        <v>38</v>
      </c>
      <c r="C736" s="56" t="str">
        <f>IFERROR(VLOOKUP(B736,'Rekap Stock Barang'!$A$7:$G$153,2,0),"")</f>
        <v>Daging Sambal HIjau</v>
      </c>
      <c r="D736" s="55">
        <v>2</v>
      </c>
      <c r="E736" s="26"/>
    </row>
    <row r="737" spans="1:5" ht="16.5" x14ac:dyDescent="0.2">
      <c r="A737" s="22"/>
      <c r="B737" s="55" t="s">
        <v>22</v>
      </c>
      <c r="C737" s="56" t="str">
        <f>IFERROR(VLOOKUP(B737,'Rekap Stock Barang'!$A$7:$G$153,2,0),"")</f>
        <v>Kulit</v>
      </c>
      <c r="D737" s="55">
        <v>5</v>
      </c>
      <c r="E737" s="26"/>
    </row>
    <row r="738" spans="1:5" ht="16.5" x14ac:dyDescent="0.2">
      <c r="A738" s="22"/>
      <c r="B738" s="55" t="s">
        <v>28</v>
      </c>
      <c r="C738" s="56" t="str">
        <f>IFERROR(VLOOKUP(B738,'Rekap Stock Barang'!$A$7:$G$153,2,0),"")</f>
        <v xml:space="preserve">Topping Nasi Gila </v>
      </c>
      <c r="D738" s="55">
        <v>1</v>
      </c>
      <c r="E738" s="26"/>
    </row>
    <row r="739" spans="1:5" ht="16.5" x14ac:dyDescent="0.2">
      <c r="A739" s="22"/>
      <c r="B739" s="55" t="s">
        <v>24</v>
      </c>
      <c r="C739" s="56" t="str">
        <f>IFERROR(VLOOKUP(B739,'Rekap Stock Barang'!$A$7:$G$153,2,0),"")</f>
        <v xml:space="preserve">Lidah </v>
      </c>
      <c r="D739" s="55">
        <v>1</v>
      </c>
      <c r="E739" s="26"/>
    </row>
    <row r="740" spans="1:5" ht="16.5" x14ac:dyDescent="0.2">
      <c r="A740" s="22"/>
      <c r="B740" s="55" t="s">
        <v>288</v>
      </c>
      <c r="C740" s="56" t="str">
        <f>IFERROR(VLOOKUP(B740,'Rekap Stock Barang'!$A$7:$G$153,2,0),"")</f>
        <v>Pete</v>
      </c>
      <c r="D740" s="55">
        <v>0</v>
      </c>
      <c r="E740" s="26"/>
    </row>
    <row r="741" spans="1:5" ht="16.5" x14ac:dyDescent="0.2">
      <c r="A741" s="22"/>
      <c r="B741" s="55" t="s">
        <v>275</v>
      </c>
      <c r="C741" s="56" t="str">
        <f>IFERROR(VLOOKUP(B741,'Rekap Stock Barang'!$A$7:$G$153,2,0),"")</f>
        <v xml:space="preserve">Teri Pete </v>
      </c>
      <c r="D741" s="55">
        <v>2</v>
      </c>
      <c r="E741" s="26"/>
    </row>
    <row r="742" spans="1:5" ht="16.5" x14ac:dyDescent="0.2">
      <c r="A742" s="22"/>
      <c r="B742" s="55" t="s">
        <v>279</v>
      </c>
      <c r="C742" s="56" t="str">
        <f>IFERROR(VLOOKUP(B742,'Rekap Stock Barang'!$A$7:$G$153,2,0),"")</f>
        <v>Lidah Goreng Segara</v>
      </c>
      <c r="D742" s="55">
        <v>2</v>
      </c>
      <c r="E742" s="26"/>
    </row>
    <row r="743" spans="1:5" ht="16.5" x14ac:dyDescent="0.2">
      <c r="A743" s="22"/>
      <c r="B743" s="55" t="s">
        <v>10</v>
      </c>
      <c r="C743" s="56" t="str">
        <f>IFERROR(VLOOKUP(B743,'Rekap Stock Barang'!$A$7:$G$153,2,0),"")</f>
        <v>Topping Mbakmoy</v>
      </c>
      <c r="D743" s="55">
        <v>1</v>
      </c>
      <c r="E743" s="26"/>
    </row>
    <row r="744" spans="1:5" ht="16.5" x14ac:dyDescent="0.2">
      <c r="A744" s="22"/>
      <c r="B744" s="55" t="s">
        <v>276</v>
      </c>
      <c r="C744" s="56" t="str">
        <f>IFERROR(VLOOKUP(B744,'Rekap Stock Barang'!$A$7:$G$153,2,0),"")</f>
        <v>Sambal Baby Cumi</v>
      </c>
      <c r="D744" s="55">
        <v>6</v>
      </c>
      <c r="E744" s="26"/>
    </row>
    <row r="745" spans="1:5" ht="16.5" x14ac:dyDescent="0.2">
      <c r="A745" s="22"/>
      <c r="B745" s="57" t="s">
        <v>31</v>
      </c>
      <c r="C745" s="58" t="str">
        <f>IFERROR(VLOOKUP(B745,'Rekap Stock Barang'!$A$7:$G$153,2,0),"")</f>
        <v>Bagor</v>
      </c>
      <c r="D745" s="57">
        <v>5</v>
      </c>
      <c r="E745" s="26"/>
    </row>
    <row r="746" spans="1:5" ht="16.5" x14ac:dyDescent="0.2">
      <c r="A746" s="22"/>
      <c r="B746" s="57" t="s">
        <v>178</v>
      </c>
      <c r="C746" s="58" t="str">
        <f>IFERROR(VLOOKUP(B746,'Rekap Stock Barang'!$A$7:$G$153,2,0),"")</f>
        <v xml:space="preserve">Cireng </v>
      </c>
      <c r="D746" s="57">
        <v>0</v>
      </c>
      <c r="E746" s="26"/>
    </row>
    <row r="747" spans="1:5" ht="16.5" x14ac:dyDescent="0.2">
      <c r="A747" s="22"/>
      <c r="B747" s="57" t="s">
        <v>238</v>
      </c>
      <c r="C747" s="58" t="str">
        <f>IFERROR(VLOOKUP(B747,'Rekap Stock Barang'!$A$7:$G$153,2,0),"")</f>
        <v>Sayap Goreng</v>
      </c>
      <c r="D747" s="57">
        <v>1</v>
      </c>
      <c r="E747" s="26"/>
    </row>
    <row r="748" spans="1:5" ht="16.5" x14ac:dyDescent="0.2">
      <c r="A748" s="22"/>
      <c r="B748" s="59" t="s">
        <v>175</v>
      </c>
      <c r="C748" s="60" t="str">
        <f>IFERROR(VLOOKUP(B748,'Rekap Stock Barang'!$A$7:$G$153,2,0),"")</f>
        <v>Mineral</v>
      </c>
      <c r="D748" s="59">
        <v>25</v>
      </c>
      <c r="E748" s="26"/>
    </row>
    <row r="749" spans="1:5" ht="16.5" x14ac:dyDescent="0.2">
      <c r="A749" s="22"/>
      <c r="B749" s="59" t="s">
        <v>170</v>
      </c>
      <c r="C749" s="60" t="str">
        <f>IFERROR(VLOOKUP(B749,'Rekap Stock Barang'!$A$7:$G$153,2,0),"")</f>
        <v>Air Tahu</v>
      </c>
      <c r="D749" s="59">
        <v>2</v>
      </c>
      <c r="E749" s="26"/>
    </row>
    <row r="750" spans="1:5" ht="16.5" x14ac:dyDescent="0.2">
      <c r="A750" s="22"/>
      <c r="B750" s="59" t="s">
        <v>229</v>
      </c>
      <c r="C750" s="60" t="str">
        <f>IFERROR(VLOOKUP(B750,'Rekap Stock Barang'!$A$7:$G$153,2,0),"")</f>
        <v xml:space="preserve">Manggo Juice </v>
      </c>
      <c r="D750" s="59">
        <v>1</v>
      </c>
      <c r="E750" s="26"/>
    </row>
    <row r="751" spans="1:5" ht="16.5" x14ac:dyDescent="0.2">
      <c r="A751" s="22"/>
      <c r="B751" s="59" t="s">
        <v>226</v>
      </c>
      <c r="C751" s="60" t="str">
        <f>IFERROR(VLOOKUP(B751,'Rekap Stock Barang'!$A$7:$G$153,2,0),"")</f>
        <v>Mix Berries</v>
      </c>
      <c r="D751" s="59">
        <v>1</v>
      </c>
      <c r="E751" s="26"/>
    </row>
    <row r="752" spans="1:5" ht="16.5" x14ac:dyDescent="0.2">
      <c r="A752" s="22"/>
      <c r="B752" s="70" t="s">
        <v>202</v>
      </c>
      <c r="C752" s="60" t="str">
        <f>IFERROR(VLOOKUP(B752,'Rekap Stock Barang'!$A$7:$G$153,2,0),"")</f>
        <v xml:space="preserve">Zoda Water </v>
      </c>
      <c r="D752" s="70">
        <v>0</v>
      </c>
      <c r="E752" s="26"/>
    </row>
    <row r="753" spans="1:5" ht="17.25" thickBot="1" x14ac:dyDescent="0.25">
      <c r="A753" s="61"/>
      <c r="B753" s="62" t="s">
        <v>223</v>
      </c>
      <c r="C753" s="63" t="str">
        <f>IFERROR(VLOOKUP(B753,'Rekap Stock Barang'!$A$7:$G$153,2,0),"")</f>
        <v>Sirsak Juice</v>
      </c>
      <c r="D753" s="62">
        <v>0</v>
      </c>
      <c r="E753" s="26"/>
    </row>
    <row r="754" spans="1:5" ht="16.5" x14ac:dyDescent="0.2">
      <c r="A754" s="21">
        <v>46282</v>
      </c>
      <c r="B754" s="49" t="s">
        <v>233</v>
      </c>
      <c r="C754" s="40" t="str">
        <f>IFERROR(VLOOKUP(B754,'Rekap Stock Barang'!$A$7:$G$153,2,0),"")</f>
        <v>Roti Angsle</v>
      </c>
      <c r="D754" s="49">
        <v>1</v>
      </c>
      <c r="E754" s="26"/>
    </row>
    <row r="755" spans="1:5" ht="16.5" x14ac:dyDescent="0.2">
      <c r="A755" s="22"/>
      <c r="B755" s="49" t="s">
        <v>217</v>
      </c>
      <c r="C755" s="40" t="str">
        <f>IFERROR(VLOOKUP(B755,'Rekap Stock Barang'!$A$7:$G$153,2,0),"")</f>
        <v>Thermal Paper</v>
      </c>
      <c r="D755" s="49">
        <v>8</v>
      </c>
      <c r="E755" s="26"/>
    </row>
    <row r="756" spans="1:5" ht="16.5" x14ac:dyDescent="0.2">
      <c r="A756" s="22"/>
      <c r="B756" s="49" t="s">
        <v>270</v>
      </c>
      <c r="C756" s="40" t="str">
        <f>IFERROR(VLOOKUP(B756,'Rekap Stock Barang'!$A$7:$G$153,2,0),"")</f>
        <v>Tissue Toilet</v>
      </c>
      <c r="D756" s="49">
        <v>1</v>
      </c>
      <c r="E756" s="26"/>
    </row>
    <row r="757" spans="1:5" ht="16.5" x14ac:dyDescent="0.2">
      <c r="A757" s="22"/>
      <c r="B757" s="49" t="s">
        <v>320</v>
      </c>
      <c r="C757" s="40" t="str">
        <f>IFERROR(VLOOKUP(B757,'Rekap Stock Barang'!$A$7:$G$153,2,0),"")</f>
        <v>Minyak Beku</v>
      </c>
      <c r="D757" s="49">
        <v>2</v>
      </c>
      <c r="E757" s="26"/>
    </row>
    <row r="758" spans="1:5" ht="16.5" x14ac:dyDescent="0.2">
      <c r="A758" s="22"/>
      <c r="B758" s="22" t="s">
        <v>164</v>
      </c>
      <c r="C758" s="40" t="str">
        <f>IFERROR(VLOOKUP(B758,'Rekap Stock Barang'!$A$7:$G$153,2,0),"")</f>
        <v xml:space="preserve">Ekonomi </v>
      </c>
      <c r="D758" s="22">
        <v>4</v>
      </c>
      <c r="E758" s="26"/>
    </row>
    <row r="759" spans="1:5" ht="16.5" x14ac:dyDescent="0.2">
      <c r="A759" s="22"/>
      <c r="B759" s="22" t="s">
        <v>313</v>
      </c>
      <c r="C759" s="40" t="str">
        <f>IFERROR(VLOOKUP(B759,'Rekap Stock Barang'!$A$7:$G$153,2,0),"")</f>
        <v>Bumbu Mie Goreng Jawa</v>
      </c>
      <c r="D759" s="22">
        <v>1</v>
      </c>
      <c r="E759" s="26"/>
    </row>
    <row r="760" spans="1:5" ht="16.5" x14ac:dyDescent="0.2">
      <c r="A760" s="22"/>
      <c r="B760" s="22" t="s">
        <v>188</v>
      </c>
      <c r="C760" s="40" t="str">
        <f>IFERROR(VLOOKUP(B760,'Rekap Stock Barang'!$A$7:$G$153,2,0),"")</f>
        <v xml:space="preserve">Mie Urai </v>
      </c>
      <c r="D760" s="22">
        <v>2</v>
      </c>
      <c r="E760" s="26"/>
    </row>
    <row r="761" spans="1:5" ht="16.5" x14ac:dyDescent="0.2">
      <c r="A761" s="22"/>
      <c r="B761" s="22" t="s">
        <v>272</v>
      </c>
      <c r="C761" s="40" t="str">
        <f>IFERROR(VLOOKUP(B761,'Rekap Stock Barang'!$A$7:$G$153,2,0),"")</f>
        <v>Tepung Telur</v>
      </c>
      <c r="D761" s="22">
        <v>2</v>
      </c>
      <c r="E761" s="26"/>
    </row>
    <row r="762" spans="1:5" ht="16.5" x14ac:dyDescent="0.2">
      <c r="A762" s="22"/>
      <c r="B762" s="22" t="s">
        <v>294</v>
      </c>
      <c r="C762" s="40" t="str">
        <f>IFERROR(VLOOKUP(B762,'Rekap Stock Barang'!$A$7:$G$153,2,0),"")</f>
        <v>Gorengan Mbakmoy</v>
      </c>
      <c r="D762" s="22">
        <v>1</v>
      </c>
      <c r="E762" s="26"/>
    </row>
    <row r="763" spans="1:5" ht="16.5" x14ac:dyDescent="0.2">
      <c r="A763" s="22"/>
      <c r="B763" s="49" t="s">
        <v>292</v>
      </c>
      <c r="C763" s="40" t="str">
        <f>IFERROR(VLOOKUP(B763,'Rekap Stock Barang'!$A$7:$G$153,2,0),"")</f>
        <v>Sambal Kuning</v>
      </c>
      <c r="D763" s="49">
        <v>1</v>
      </c>
      <c r="E763" s="26"/>
    </row>
    <row r="764" spans="1:5" ht="16.5" x14ac:dyDescent="0.2">
      <c r="A764" s="22"/>
      <c r="B764" s="49" t="s">
        <v>273</v>
      </c>
      <c r="C764" s="40" t="str">
        <f>IFERROR(VLOOKUP(B764,'Rekap Stock Barang'!$A$7:$G$153,2,0),"")</f>
        <v>Sambal Bawang</v>
      </c>
      <c r="D764" s="49">
        <v>1</v>
      </c>
      <c r="E764" s="26"/>
    </row>
    <row r="765" spans="1:5" ht="16.5" x14ac:dyDescent="0.2">
      <c r="A765" s="22"/>
      <c r="B765" s="53" t="s">
        <v>130</v>
      </c>
      <c r="C765" s="54" t="str">
        <f>IFERROR(VLOOKUP(B765,'Rekap Stock Barang'!$A$7:$G$153,2,0),"")</f>
        <v>Plastik Sampah S</v>
      </c>
      <c r="D765" s="53">
        <v>2</v>
      </c>
      <c r="E765" s="26"/>
    </row>
    <row r="766" spans="1:5" ht="16.5" x14ac:dyDescent="0.2">
      <c r="A766" s="22"/>
      <c r="B766" s="53" t="s">
        <v>131</v>
      </c>
      <c r="C766" s="54" t="str">
        <f>IFERROR(VLOOKUP(B766,'Rekap Stock Barang'!$A$7:$G$153,2,0),"")</f>
        <v>Plastik Sampah M</v>
      </c>
      <c r="D766" s="53">
        <v>2</v>
      </c>
      <c r="E766" s="26"/>
    </row>
    <row r="767" spans="1:5" ht="16.5" x14ac:dyDescent="0.2">
      <c r="A767" s="22"/>
      <c r="B767" s="53" t="s">
        <v>132</v>
      </c>
      <c r="C767" s="54" t="str">
        <f>IFERROR(VLOOKUP(B767,'Rekap Stock Barang'!$A$7:$G$153,2,0),"")</f>
        <v>Plastik Sampah L</v>
      </c>
      <c r="D767" s="53">
        <v>1</v>
      </c>
      <c r="E767" s="26"/>
    </row>
    <row r="768" spans="1:5" ht="16.5" x14ac:dyDescent="0.2">
      <c r="A768" s="22"/>
      <c r="B768" s="53" t="s">
        <v>274</v>
      </c>
      <c r="C768" s="54" t="str">
        <f>IFERROR(VLOOKUP(B768,'Rekap Stock Barang'!$A$7:$G$153,2,0),"")</f>
        <v>Plastik Sampah XL</v>
      </c>
      <c r="D768" s="53">
        <v>2</v>
      </c>
      <c r="E768" s="26"/>
    </row>
    <row r="769" spans="1:5" ht="16.5" x14ac:dyDescent="0.2">
      <c r="A769" s="22"/>
      <c r="B769" s="55" t="s">
        <v>236</v>
      </c>
      <c r="C769" s="56" t="str">
        <f>IFERROR(VLOOKUP(B769,'Rekap Stock Barang'!$A$7:$G$153,2,0),"")</f>
        <v xml:space="preserve">Paha Gurih Manis </v>
      </c>
      <c r="D769" s="55">
        <v>4</v>
      </c>
      <c r="E769" s="26"/>
    </row>
    <row r="770" spans="1:5" ht="16.5" x14ac:dyDescent="0.2">
      <c r="A770" s="22"/>
      <c r="B770" s="55" t="s">
        <v>241</v>
      </c>
      <c r="C770" s="56" t="str">
        <f>IFERROR(VLOOKUP(B770,'Rekap Stock Barang'!$A$7:$G$153,2,0),"")</f>
        <v>Dada Gurih Manis</v>
      </c>
      <c r="D770" s="55">
        <v>1</v>
      </c>
      <c r="E770" s="26"/>
    </row>
    <row r="771" spans="1:5" ht="16.5" x14ac:dyDescent="0.2">
      <c r="A771" s="22"/>
      <c r="B771" s="55" t="s">
        <v>16</v>
      </c>
      <c r="C771" s="56" t="str">
        <f>IFERROR(VLOOKUP(B771,'Rekap Stock Barang'!$A$7:$G$153,2,0),"")</f>
        <v>Paha</v>
      </c>
      <c r="D771" s="55">
        <v>6</v>
      </c>
      <c r="E771" s="26"/>
    </row>
    <row r="772" spans="1:5" ht="16.5" x14ac:dyDescent="0.2">
      <c r="A772" s="22"/>
      <c r="B772" s="55" t="s">
        <v>19</v>
      </c>
      <c r="C772" s="56" t="str">
        <f>IFERROR(VLOOKUP(B772,'Rekap Stock Barang'!$A$7:$G$153,2,0),"")</f>
        <v>Dada</v>
      </c>
      <c r="D772" s="55">
        <v>9</v>
      </c>
      <c r="E772" s="26"/>
    </row>
    <row r="773" spans="1:5" ht="16.5" x14ac:dyDescent="0.2">
      <c r="A773" s="22"/>
      <c r="B773" s="55" t="s">
        <v>8</v>
      </c>
      <c r="C773" s="56" t="str">
        <f>IFERROR(VLOOKUP(B773,'Rekap Stock Barang'!$A$7:$G$153,2,0),"")</f>
        <v xml:space="preserve">Ayam Suwir </v>
      </c>
      <c r="D773" s="55">
        <v>7</v>
      </c>
      <c r="E773" s="26"/>
    </row>
    <row r="774" spans="1:5" ht="16.5" x14ac:dyDescent="0.2">
      <c r="A774" s="22"/>
      <c r="B774" s="55" t="s">
        <v>9</v>
      </c>
      <c r="C774" s="56" t="str">
        <f>IFERROR(VLOOKUP(B774,'Rekap Stock Barang'!$A$7:$G$153,2,0),"")</f>
        <v xml:space="preserve">Topping Kwetiau </v>
      </c>
      <c r="D774" s="55">
        <v>3</v>
      </c>
      <c r="E774" s="26"/>
    </row>
    <row r="775" spans="1:5" ht="16.5" x14ac:dyDescent="0.2">
      <c r="A775" s="22"/>
      <c r="B775" s="55" t="s">
        <v>243</v>
      </c>
      <c r="C775" s="56" t="str">
        <f>IFERROR(VLOOKUP(B775,'Rekap Stock Barang'!$A$7:$G$153,2,0),"")</f>
        <v xml:space="preserve">Daging Slice </v>
      </c>
      <c r="D775" s="55">
        <v>1</v>
      </c>
      <c r="E775" s="26"/>
    </row>
    <row r="776" spans="1:5" ht="16.5" x14ac:dyDescent="0.2">
      <c r="A776" s="22"/>
      <c r="B776" s="55" t="s">
        <v>14</v>
      </c>
      <c r="C776" s="56" t="str">
        <f>IFERROR(VLOOKUP(B776,'Rekap Stock Barang'!$A$7:$G$153,2,0),"")</f>
        <v>Ayam Jamur</v>
      </c>
      <c r="D776" s="55">
        <v>3</v>
      </c>
      <c r="E776" s="26"/>
    </row>
    <row r="777" spans="1:5" ht="16.5" x14ac:dyDescent="0.2">
      <c r="A777" s="22"/>
      <c r="B777" s="55" t="s">
        <v>20</v>
      </c>
      <c r="C777" s="56" t="str">
        <f>IFERROR(VLOOKUP(B777,'Rekap Stock Barang'!$A$7:$G$153,2,0),"")</f>
        <v>Cumi</v>
      </c>
      <c r="D777" s="55">
        <v>1</v>
      </c>
      <c r="E777" s="26"/>
    </row>
    <row r="778" spans="1:5" ht="16.5" x14ac:dyDescent="0.2">
      <c r="A778" s="22"/>
      <c r="B778" s="55" t="s">
        <v>38</v>
      </c>
      <c r="C778" s="56" t="str">
        <f>IFERROR(VLOOKUP(B778,'Rekap Stock Barang'!$A$7:$G$153,2,0),"")</f>
        <v>Daging Sambal HIjau</v>
      </c>
      <c r="D778" s="55">
        <v>4</v>
      </c>
      <c r="E778" s="26"/>
    </row>
    <row r="779" spans="1:5" ht="16.5" x14ac:dyDescent="0.2">
      <c r="A779" s="22"/>
      <c r="B779" s="55" t="s">
        <v>22</v>
      </c>
      <c r="C779" s="56" t="str">
        <f>IFERROR(VLOOKUP(B779,'Rekap Stock Barang'!$A$7:$G$153,2,0),"")</f>
        <v>Kulit</v>
      </c>
      <c r="D779" s="55">
        <v>7</v>
      </c>
      <c r="E779" s="26"/>
    </row>
    <row r="780" spans="1:5" ht="16.5" x14ac:dyDescent="0.2">
      <c r="A780" s="22"/>
      <c r="B780" s="55" t="s">
        <v>28</v>
      </c>
      <c r="C780" s="56" t="str">
        <f>IFERROR(VLOOKUP(B780,'Rekap Stock Barang'!$A$7:$G$153,2,0),"")</f>
        <v xml:space="preserve">Topping Nasi Gila </v>
      </c>
      <c r="D780" s="55">
        <v>1</v>
      </c>
      <c r="E780" s="26"/>
    </row>
    <row r="781" spans="1:5" ht="16.5" x14ac:dyDescent="0.2">
      <c r="A781" s="22"/>
      <c r="B781" s="55" t="s">
        <v>24</v>
      </c>
      <c r="C781" s="56" t="str">
        <f>IFERROR(VLOOKUP(B781,'Rekap Stock Barang'!$A$7:$G$153,2,0),"")</f>
        <v xml:space="preserve">Lidah </v>
      </c>
      <c r="D781" s="55">
        <v>3</v>
      </c>
      <c r="E781" s="26"/>
    </row>
    <row r="782" spans="1:5" ht="16.5" x14ac:dyDescent="0.2">
      <c r="A782" s="22"/>
      <c r="B782" s="55" t="s">
        <v>288</v>
      </c>
      <c r="C782" s="56" t="str">
        <f>IFERROR(VLOOKUP(B782,'Rekap Stock Barang'!$A$7:$G$153,2,0),"")</f>
        <v>Pete</v>
      </c>
      <c r="D782" s="55">
        <v>0</v>
      </c>
      <c r="E782" s="26"/>
    </row>
    <row r="783" spans="1:5" ht="16.5" x14ac:dyDescent="0.2">
      <c r="A783" s="22"/>
      <c r="B783" s="55" t="s">
        <v>275</v>
      </c>
      <c r="C783" s="56" t="str">
        <f>IFERROR(VLOOKUP(B783,'Rekap Stock Barang'!$A$7:$G$153,2,0),"")</f>
        <v xml:space="preserve">Teri Pete </v>
      </c>
      <c r="D783" s="55">
        <v>3</v>
      </c>
      <c r="E783" s="26"/>
    </row>
    <row r="784" spans="1:5" ht="16.5" x14ac:dyDescent="0.2">
      <c r="A784" s="22"/>
      <c r="B784" s="55" t="s">
        <v>279</v>
      </c>
      <c r="C784" s="56" t="str">
        <f>IFERROR(VLOOKUP(B784,'Rekap Stock Barang'!$A$7:$G$153,2,0),"")</f>
        <v>Lidah Goreng Segara</v>
      </c>
      <c r="D784" s="55">
        <v>1</v>
      </c>
      <c r="E784" s="26"/>
    </row>
    <row r="785" spans="1:5" ht="16.5" x14ac:dyDescent="0.2">
      <c r="A785" s="22"/>
      <c r="B785" s="55" t="s">
        <v>10</v>
      </c>
      <c r="C785" s="56" t="str">
        <f>IFERROR(VLOOKUP(B785,'Rekap Stock Barang'!$A$7:$G$153,2,0),"")</f>
        <v>Topping Mbakmoy</v>
      </c>
      <c r="D785" s="55">
        <v>3</v>
      </c>
      <c r="E785" s="26"/>
    </row>
    <row r="786" spans="1:5" ht="16.5" x14ac:dyDescent="0.2">
      <c r="A786" s="22"/>
      <c r="B786" s="55" t="s">
        <v>276</v>
      </c>
      <c r="C786" s="56" t="str">
        <f>IFERROR(VLOOKUP(B786,'Rekap Stock Barang'!$A$7:$G$153,2,0),"")</f>
        <v>Sambal Baby Cumi</v>
      </c>
      <c r="D786" s="55">
        <v>7</v>
      </c>
      <c r="E786" s="26"/>
    </row>
    <row r="787" spans="1:5" ht="16.5" x14ac:dyDescent="0.2">
      <c r="A787" s="22"/>
      <c r="B787" s="57" t="s">
        <v>31</v>
      </c>
      <c r="C787" s="58" t="str">
        <f>IFERROR(VLOOKUP(B787,'Rekap Stock Barang'!$A$7:$G$153,2,0),"")</f>
        <v>Bagor</v>
      </c>
      <c r="D787" s="57">
        <v>2</v>
      </c>
      <c r="E787" s="26"/>
    </row>
    <row r="788" spans="1:5" ht="16.5" x14ac:dyDescent="0.2">
      <c r="A788" s="22"/>
      <c r="B788" s="57" t="s">
        <v>178</v>
      </c>
      <c r="C788" s="58" t="str">
        <f>IFERROR(VLOOKUP(B788,'Rekap Stock Barang'!$A$7:$G$153,2,0),"")</f>
        <v xml:space="preserve">Cireng </v>
      </c>
      <c r="D788" s="57">
        <v>0</v>
      </c>
      <c r="E788" s="26"/>
    </row>
    <row r="789" spans="1:5" ht="16.5" x14ac:dyDescent="0.2">
      <c r="A789" s="22"/>
      <c r="B789" s="57" t="s">
        <v>238</v>
      </c>
      <c r="C789" s="58" t="str">
        <f>IFERROR(VLOOKUP(B789,'Rekap Stock Barang'!$A$7:$G$153,2,0),"")</f>
        <v>Sayap Goreng</v>
      </c>
      <c r="D789" s="57">
        <v>0</v>
      </c>
      <c r="E789" s="26"/>
    </row>
    <row r="790" spans="1:5" ht="16.5" x14ac:dyDescent="0.2">
      <c r="A790" s="22"/>
      <c r="B790" s="59" t="s">
        <v>175</v>
      </c>
      <c r="C790" s="60" t="str">
        <f>IFERROR(VLOOKUP(B790,'Rekap Stock Barang'!$A$7:$G$153,2,0),"")</f>
        <v>Mineral</v>
      </c>
      <c r="D790" s="59">
        <v>24</v>
      </c>
      <c r="E790" s="26"/>
    </row>
    <row r="791" spans="1:5" ht="16.5" x14ac:dyDescent="0.2">
      <c r="A791" s="22"/>
      <c r="B791" s="59" t="s">
        <v>170</v>
      </c>
      <c r="C791" s="60" t="str">
        <f>IFERROR(VLOOKUP(B791,'Rekap Stock Barang'!$A$7:$G$153,2,0),"")</f>
        <v>Air Tahu</v>
      </c>
      <c r="D791" s="59">
        <v>0</v>
      </c>
      <c r="E791" s="26"/>
    </row>
    <row r="792" spans="1:5" ht="16.5" x14ac:dyDescent="0.2">
      <c r="A792" s="22"/>
      <c r="B792" s="59" t="s">
        <v>229</v>
      </c>
      <c r="C792" s="60" t="str">
        <f>IFERROR(VLOOKUP(B792,'Rekap Stock Barang'!$A$7:$G$153,2,0),"")</f>
        <v xml:space="preserve">Manggo Juice </v>
      </c>
      <c r="D792" s="59">
        <v>5</v>
      </c>
      <c r="E792" s="26"/>
    </row>
    <row r="793" spans="1:5" ht="16.5" x14ac:dyDescent="0.2">
      <c r="A793" s="22"/>
      <c r="B793" s="59" t="s">
        <v>226</v>
      </c>
      <c r="C793" s="60" t="str">
        <f>IFERROR(VLOOKUP(B793,'Rekap Stock Barang'!$A$7:$G$153,2,0),"")</f>
        <v>Mix Berries</v>
      </c>
      <c r="D793" s="59">
        <v>4</v>
      </c>
      <c r="E793" s="26"/>
    </row>
    <row r="794" spans="1:5" ht="16.5" x14ac:dyDescent="0.2">
      <c r="A794" s="22"/>
      <c r="B794" s="70" t="s">
        <v>202</v>
      </c>
      <c r="C794" s="60" t="str">
        <f>IFERROR(VLOOKUP(B794,'Rekap Stock Barang'!$A$7:$G$153,2,0),"")</f>
        <v xml:space="preserve">Zoda Water </v>
      </c>
      <c r="D794" s="70">
        <v>0</v>
      </c>
      <c r="E794" s="26"/>
    </row>
    <row r="795" spans="1:5" ht="17.25" thickBot="1" x14ac:dyDescent="0.25">
      <c r="A795" s="61"/>
      <c r="B795" s="62" t="s">
        <v>223</v>
      </c>
      <c r="C795" s="63" t="str">
        <f>IFERROR(VLOOKUP(B795,'Rekap Stock Barang'!$A$7:$G$153,2,0),"")</f>
        <v>Sirsak Juice</v>
      </c>
      <c r="D795" s="62">
        <v>2</v>
      </c>
      <c r="E795" s="26"/>
    </row>
    <row r="796" spans="1:5" ht="16.5" x14ac:dyDescent="0.2">
      <c r="A796" s="21">
        <v>46283</v>
      </c>
      <c r="B796" s="49" t="s">
        <v>290</v>
      </c>
      <c r="C796" s="40" t="str">
        <f>IFERROR(VLOOKUP(B796,'Rekap Stock Barang'!$A$7:$G$153,2,0),"")</f>
        <v>Bumbu Serundeng</v>
      </c>
      <c r="D796" s="49">
        <v>3</v>
      </c>
      <c r="E796" s="26"/>
    </row>
    <row r="797" spans="1:5" ht="16.5" x14ac:dyDescent="0.2">
      <c r="A797" s="22"/>
      <c r="B797" s="49" t="s">
        <v>228</v>
      </c>
      <c r="C797" s="40" t="str">
        <f>IFERROR(VLOOKUP(B797,'Rekap Stock Barang'!$A$7:$G$153,2,0),"")</f>
        <v xml:space="preserve">Sedotan </v>
      </c>
      <c r="D797" s="49">
        <v>1</v>
      </c>
      <c r="E797" s="26"/>
    </row>
    <row r="798" spans="1:5" ht="16.5" x14ac:dyDescent="0.2">
      <c r="A798" s="22"/>
      <c r="B798" s="49" t="s">
        <v>321</v>
      </c>
      <c r="C798" s="40" t="str">
        <f>IFERROR(VLOOKUP(B798,'Rekap Stock Barang'!$A$7:$G$153,2,0),"")</f>
        <v>Tepung Telur</v>
      </c>
      <c r="D798" s="49">
        <v>4</v>
      </c>
      <c r="E798" s="26"/>
    </row>
    <row r="799" spans="1:5" ht="16.5" x14ac:dyDescent="0.2">
      <c r="A799" s="22"/>
      <c r="B799" s="49" t="s">
        <v>164</v>
      </c>
      <c r="C799" s="40" t="str">
        <f>IFERROR(VLOOKUP(B799,'Rekap Stock Barang'!$A$7:$G$153,2,0),"")</f>
        <v xml:space="preserve">Ekonomi </v>
      </c>
      <c r="D799" s="49">
        <v>5</v>
      </c>
      <c r="E799" s="26"/>
    </row>
    <row r="800" spans="1:5" ht="16.5" x14ac:dyDescent="0.2">
      <c r="A800" s="22"/>
      <c r="B800" s="49" t="s">
        <v>281</v>
      </c>
      <c r="C800" s="40" t="str">
        <f>IFERROR(VLOOKUP(B800,'Rekap Stock Barang'!$A$7:$G$153,2,0),"")</f>
        <v>Diamond Milk</v>
      </c>
      <c r="D800" s="49">
        <v>1</v>
      </c>
      <c r="E800" s="26"/>
    </row>
    <row r="801" spans="1:5" ht="16.5" x14ac:dyDescent="0.2">
      <c r="A801" s="22"/>
      <c r="B801" s="49" t="s">
        <v>293</v>
      </c>
      <c r="C801" s="40" t="str">
        <f>IFERROR(VLOOKUP(B801,'Rekap Stock Barang'!$A$7:$G$153,2,0),"")</f>
        <v>Susu Kental Manis Carnation</v>
      </c>
      <c r="D801" s="49">
        <v>1</v>
      </c>
      <c r="E801" s="26"/>
    </row>
    <row r="802" spans="1:5" ht="16.5" x14ac:dyDescent="0.2">
      <c r="A802" s="22"/>
      <c r="B802" s="22" t="s">
        <v>189</v>
      </c>
      <c r="C802" s="40" t="str">
        <f>IFERROR(VLOOKUP(B802,'Rekap Stock Barang'!$A$7:$G$153,2,0),"")</f>
        <v xml:space="preserve">Susu Evaporasi </v>
      </c>
      <c r="D802" s="22">
        <v>1</v>
      </c>
      <c r="E802" s="26"/>
    </row>
    <row r="803" spans="1:5" ht="16.5" x14ac:dyDescent="0.2">
      <c r="A803" s="22"/>
      <c r="B803" s="22" t="s">
        <v>204</v>
      </c>
      <c r="C803" s="40" t="str">
        <f>IFERROR(VLOOKUP(B803,'Rekap Stock Barang'!$A$7:$G$153,2,0),"")</f>
        <v xml:space="preserve">Gula </v>
      </c>
      <c r="D803" s="22">
        <v>2</v>
      </c>
      <c r="E803" s="26"/>
    </row>
    <row r="804" spans="1:5" ht="16.5" x14ac:dyDescent="0.2">
      <c r="A804" s="22"/>
      <c r="B804" s="22" t="s">
        <v>181</v>
      </c>
      <c r="C804" s="40" t="str">
        <f>IFERROR(VLOOKUP(B804,'Rekap Stock Barang'!$A$7:$G$153,2,0),"")</f>
        <v xml:space="preserve">Sagu Mutiara </v>
      </c>
      <c r="D804" s="22">
        <v>1</v>
      </c>
      <c r="E804" s="26"/>
    </row>
    <row r="805" spans="1:5" ht="16.5" x14ac:dyDescent="0.2">
      <c r="A805" s="22"/>
      <c r="B805" s="22" t="s">
        <v>184</v>
      </c>
      <c r="C805" s="40" t="str">
        <f>IFERROR(VLOOKUP(B805,'Rekap Stock Barang'!$A$7:$G$153,2,0),"")</f>
        <v xml:space="preserve">Tepung Maizena </v>
      </c>
      <c r="D805" s="22">
        <v>2</v>
      </c>
      <c r="E805" s="26"/>
    </row>
    <row r="806" spans="1:5" ht="16.5" x14ac:dyDescent="0.2">
      <c r="A806" s="22"/>
      <c r="B806" s="22" t="s">
        <v>201</v>
      </c>
      <c r="C806" s="40" t="str">
        <f>IFERROR(VLOOKUP(B806,'Rekap Stock Barang'!$A$7:$G$153,2,0),"")</f>
        <v xml:space="preserve">Soda Polaris </v>
      </c>
      <c r="D806" s="22">
        <v>2</v>
      </c>
      <c r="E806" s="26"/>
    </row>
    <row r="807" spans="1:5" ht="16.5" x14ac:dyDescent="0.2">
      <c r="A807" s="22"/>
      <c r="B807" s="22" t="s">
        <v>270</v>
      </c>
      <c r="C807" s="40" t="str">
        <f>IFERROR(VLOOKUP(B807,'Rekap Stock Barang'!$A$7:$G$153,2,0),"")</f>
        <v>Tissue Toilet</v>
      </c>
      <c r="D807" s="22">
        <v>1</v>
      </c>
      <c r="E807" s="26"/>
    </row>
    <row r="808" spans="1:5" ht="16.5" x14ac:dyDescent="0.2">
      <c r="A808" s="22"/>
      <c r="B808" s="49" t="s">
        <v>215</v>
      </c>
      <c r="C808" s="40" t="str">
        <f>IFERROR(VLOOKUP(B808,'Rekap Stock Barang'!$A$7:$G$153,2,0),"")</f>
        <v>Cup Ice</v>
      </c>
      <c r="D808" s="49">
        <v>1</v>
      </c>
      <c r="E808" s="26"/>
    </row>
    <row r="809" spans="1:5" ht="16.5" x14ac:dyDescent="0.2">
      <c r="A809" s="22"/>
      <c r="B809" s="53" t="s">
        <v>130</v>
      </c>
      <c r="C809" s="54" t="str">
        <f>IFERROR(VLOOKUP(B809,'Rekap Stock Barang'!$A$7:$G$153,2,0),"")</f>
        <v>Plastik Sampah S</v>
      </c>
      <c r="D809" s="53">
        <v>4</v>
      </c>
      <c r="E809" s="26"/>
    </row>
    <row r="810" spans="1:5" ht="16.5" x14ac:dyDescent="0.2">
      <c r="A810" s="22"/>
      <c r="B810" s="53" t="s">
        <v>131</v>
      </c>
      <c r="C810" s="54" t="str">
        <f>IFERROR(VLOOKUP(B810,'Rekap Stock Barang'!$A$7:$G$153,2,0),"")</f>
        <v>Plastik Sampah M</v>
      </c>
      <c r="D810" s="53">
        <v>2</v>
      </c>
      <c r="E810" s="26"/>
    </row>
    <row r="811" spans="1:5" ht="16.5" x14ac:dyDescent="0.2">
      <c r="A811" s="22"/>
      <c r="B811" s="53" t="s">
        <v>132</v>
      </c>
      <c r="C811" s="54" t="str">
        <f>IFERROR(VLOOKUP(B811,'Rekap Stock Barang'!$A$7:$G$153,2,0),"")</f>
        <v>Plastik Sampah L</v>
      </c>
      <c r="D811" s="53">
        <v>2</v>
      </c>
      <c r="E811" s="26"/>
    </row>
    <row r="812" spans="1:5" ht="16.5" x14ac:dyDescent="0.2">
      <c r="A812" s="22"/>
      <c r="B812" s="53" t="s">
        <v>274</v>
      </c>
      <c r="C812" s="54" t="str">
        <f>IFERROR(VLOOKUP(B812,'Rekap Stock Barang'!$A$7:$G$153,2,0),"")</f>
        <v>Plastik Sampah XL</v>
      </c>
      <c r="D812" s="53">
        <v>1</v>
      </c>
      <c r="E812" s="26"/>
    </row>
    <row r="813" spans="1:5" ht="16.5" x14ac:dyDescent="0.2">
      <c r="A813" s="22"/>
      <c r="B813" s="55" t="s">
        <v>236</v>
      </c>
      <c r="C813" s="56" t="str">
        <f>IFERROR(VLOOKUP(B813,'Rekap Stock Barang'!$A$7:$G$153,2,0),"")</f>
        <v xml:space="preserve">Paha Gurih Manis </v>
      </c>
      <c r="D813" s="55">
        <v>0</v>
      </c>
      <c r="E813" s="26"/>
    </row>
    <row r="814" spans="1:5" ht="16.5" x14ac:dyDescent="0.2">
      <c r="A814" s="22"/>
      <c r="B814" s="55" t="s">
        <v>241</v>
      </c>
      <c r="C814" s="56" t="str">
        <f>IFERROR(VLOOKUP(B814,'Rekap Stock Barang'!$A$7:$G$153,2,0),"")</f>
        <v>Dada Gurih Manis</v>
      </c>
      <c r="D814" s="55">
        <v>1</v>
      </c>
      <c r="E814" s="26"/>
    </row>
    <row r="815" spans="1:5" ht="16.5" x14ac:dyDescent="0.2">
      <c r="A815" s="22"/>
      <c r="B815" s="55" t="s">
        <v>16</v>
      </c>
      <c r="C815" s="56" t="str">
        <f>IFERROR(VLOOKUP(B815,'Rekap Stock Barang'!$A$7:$G$153,2,0),"")</f>
        <v>Paha</v>
      </c>
      <c r="D815" s="55">
        <v>14</v>
      </c>
      <c r="E815" s="26"/>
    </row>
    <row r="816" spans="1:5" ht="16.5" x14ac:dyDescent="0.2">
      <c r="A816" s="22"/>
      <c r="B816" s="55" t="s">
        <v>19</v>
      </c>
      <c r="C816" s="56" t="str">
        <f>IFERROR(VLOOKUP(B816,'Rekap Stock Barang'!$A$7:$G$153,2,0),"")</f>
        <v>Dada</v>
      </c>
      <c r="D816" s="55">
        <v>6</v>
      </c>
      <c r="E816" s="26"/>
    </row>
    <row r="817" spans="1:5" ht="16.5" x14ac:dyDescent="0.2">
      <c r="A817" s="22"/>
      <c r="B817" s="55" t="s">
        <v>8</v>
      </c>
      <c r="C817" s="56" t="str">
        <f>IFERROR(VLOOKUP(B817,'Rekap Stock Barang'!$A$7:$G$153,2,0),"")</f>
        <v xml:space="preserve">Ayam Suwir </v>
      </c>
      <c r="D817" s="55">
        <v>12</v>
      </c>
      <c r="E817" s="26"/>
    </row>
    <row r="818" spans="1:5" ht="16.5" x14ac:dyDescent="0.2">
      <c r="A818" s="22"/>
      <c r="B818" s="55" t="s">
        <v>9</v>
      </c>
      <c r="C818" s="56" t="str">
        <f>IFERROR(VLOOKUP(B818,'Rekap Stock Barang'!$A$7:$G$153,2,0),"")</f>
        <v xml:space="preserve">Topping Kwetiau </v>
      </c>
      <c r="D818" s="55">
        <v>8</v>
      </c>
      <c r="E818" s="26"/>
    </row>
    <row r="819" spans="1:5" ht="16.5" x14ac:dyDescent="0.2">
      <c r="A819" s="22"/>
      <c r="B819" s="55" t="s">
        <v>243</v>
      </c>
      <c r="C819" s="56" t="str">
        <f>IFERROR(VLOOKUP(B819,'Rekap Stock Barang'!$A$7:$G$153,2,0),"")</f>
        <v xml:space="preserve">Daging Slice </v>
      </c>
      <c r="D819" s="55">
        <v>0</v>
      </c>
      <c r="E819" s="26"/>
    </row>
    <row r="820" spans="1:5" ht="16.5" x14ac:dyDescent="0.2">
      <c r="A820" s="22"/>
      <c r="B820" s="55" t="s">
        <v>14</v>
      </c>
      <c r="C820" s="56" t="str">
        <f>IFERROR(VLOOKUP(B820,'Rekap Stock Barang'!$A$7:$G$153,2,0),"")</f>
        <v>Ayam Jamur</v>
      </c>
      <c r="D820" s="55">
        <v>12</v>
      </c>
      <c r="E820" s="26"/>
    </row>
    <row r="821" spans="1:5" ht="16.5" x14ac:dyDescent="0.2">
      <c r="A821" s="22"/>
      <c r="B821" s="55" t="s">
        <v>20</v>
      </c>
      <c r="C821" s="56" t="str">
        <f>IFERROR(VLOOKUP(B821,'Rekap Stock Barang'!$A$7:$G$153,2,0),"")</f>
        <v>Cumi</v>
      </c>
      <c r="D821" s="55">
        <v>6</v>
      </c>
      <c r="E821" s="26"/>
    </row>
    <row r="822" spans="1:5" ht="16.5" x14ac:dyDescent="0.2">
      <c r="A822" s="22"/>
      <c r="B822" s="55" t="s">
        <v>38</v>
      </c>
      <c r="C822" s="56" t="str">
        <f>IFERROR(VLOOKUP(B822,'Rekap Stock Barang'!$A$7:$G$153,2,0),"")</f>
        <v>Daging Sambal HIjau</v>
      </c>
      <c r="D822" s="55">
        <v>3</v>
      </c>
      <c r="E822" s="26"/>
    </row>
    <row r="823" spans="1:5" ht="16.5" x14ac:dyDescent="0.2">
      <c r="A823" s="22"/>
      <c r="B823" s="55" t="s">
        <v>22</v>
      </c>
      <c r="C823" s="56" t="str">
        <f>IFERROR(VLOOKUP(B823,'Rekap Stock Barang'!$A$7:$G$153,2,0),"")</f>
        <v>Kulit</v>
      </c>
      <c r="D823" s="55">
        <v>6</v>
      </c>
      <c r="E823" s="26"/>
    </row>
    <row r="824" spans="1:5" ht="16.5" x14ac:dyDescent="0.2">
      <c r="A824" s="22"/>
      <c r="B824" s="55" t="s">
        <v>28</v>
      </c>
      <c r="C824" s="56" t="str">
        <f>IFERROR(VLOOKUP(B824,'Rekap Stock Barang'!$A$7:$G$153,2,0),"")</f>
        <v xml:space="preserve">Topping Nasi Gila </v>
      </c>
      <c r="D824" s="55">
        <v>2</v>
      </c>
      <c r="E824" s="26"/>
    </row>
    <row r="825" spans="1:5" ht="16.5" x14ac:dyDescent="0.2">
      <c r="A825" s="22"/>
      <c r="B825" s="55" t="s">
        <v>24</v>
      </c>
      <c r="C825" s="56" t="str">
        <f>IFERROR(VLOOKUP(B825,'Rekap Stock Barang'!$A$7:$G$153,2,0),"")</f>
        <v xml:space="preserve">Lidah </v>
      </c>
      <c r="D825" s="55">
        <v>5</v>
      </c>
      <c r="E825" s="26"/>
    </row>
    <row r="826" spans="1:5" ht="16.5" x14ac:dyDescent="0.2">
      <c r="A826" s="22"/>
      <c r="B826" s="55" t="s">
        <v>288</v>
      </c>
      <c r="C826" s="56" t="str">
        <f>IFERROR(VLOOKUP(B826,'Rekap Stock Barang'!$A$7:$G$153,2,0),"")</f>
        <v>Pete</v>
      </c>
      <c r="D826" s="55">
        <v>0</v>
      </c>
      <c r="E826" s="26"/>
    </row>
    <row r="827" spans="1:5" ht="16.5" x14ac:dyDescent="0.2">
      <c r="A827" s="22"/>
      <c r="B827" s="55" t="s">
        <v>275</v>
      </c>
      <c r="C827" s="56" t="str">
        <f>IFERROR(VLOOKUP(B827,'Rekap Stock Barang'!$A$7:$G$153,2,0),"")</f>
        <v xml:space="preserve">Teri Pete </v>
      </c>
      <c r="D827" s="55">
        <v>1</v>
      </c>
      <c r="E827" s="26"/>
    </row>
    <row r="828" spans="1:5" ht="16.5" x14ac:dyDescent="0.2">
      <c r="A828" s="22"/>
      <c r="B828" s="55" t="s">
        <v>279</v>
      </c>
      <c r="C828" s="56" t="str">
        <f>IFERROR(VLOOKUP(B828,'Rekap Stock Barang'!$A$7:$G$153,2,0),"")</f>
        <v>Lidah Goreng Segara</v>
      </c>
      <c r="D828" s="55">
        <v>7</v>
      </c>
      <c r="E828" s="26"/>
    </row>
    <row r="829" spans="1:5" ht="16.5" x14ac:dyDescent="0.2">
      <c r="A829" s="22"/>
      <c r="B829" s="55" t="s">
        <v>10</v>
      </c>
      <c r="C829" s="56" t="str">
        <f>IFERROR(VLOOKUP(B829,'Rekap Stock Barang'!$A$7:$G$153,2,0),"")</f>
        <v>Topping Mbakmoy</v>
      </c>
      <c r="D829" s="55">
        <v>1</v>
      </c>
      <c r="E829" s="26"/>
    </row>
    <row r="830" spans="1:5" ht="16.5" x14ac:dyDescent="0.2">
      <c r="A830" s="22"/>
      <c r="B830" s="55" t="s">
        <v>276</v>
      </c>
      <c r="C830" s="56" t="str">
        <f>IFERROR(VLOOKUP(B830,'Rekap Stock Barang'!$A$7:$G$153,2,0),"")</f>
        <v>Sambal Baby Cumi</v>
      </c>
      <c r="D830" s="55">
        <v>11</v>
      </c>
      <c r="E830" s="26"/>
    </row>
    <row r="831" spans="1:5" ht="16.5" x14ac:dyDescent="0.2">
      <c r="A831" s="22"/>
      <c r="B831" s="57" t="s">
        <v>31</v>
      </c>
      <c r="C831" s="58" t="str">
        <f>IFERROR(VLOOKUP(B831,'Rekap Stock Barang'!$A$7:$G$153,2,0),"")</f>
        <v>Bagor</v>
      </c>
      <c r="D831" s="57">
        <v>9</v>
      </c>
      <c r="E831" s="26"/>
    </row>
    <row r="832" spans="1:5" ht="16.5" x14ac:dyDescent="0.2">
      <c r="A832" s="22"/>
      <c r="B832" s="57" t="s">
        <v>178</v>
      </c>
      <c r="C832" s="58" t="str">
        <f>IFERROR(VLOOKUP(B832,'Rekap Stock Barang'!$A$7:$G$153,2,0),"")</f>
        <v xml:space="preserve">Cireng </v>
      </c>
      <c r="D832" s="57">
        <v>1</v>
      </c>
      <c r="E832" s="26"/>
    </row>
    <row r="833" spans="1:5" ht="16.5" x14ac:dyDescent="0.2">
      <c r="A833" s="22"/>
      <c r="B833" s="57" t="s">
        <v>238</v>
      </c>
      <c r="C833" s="58" t="str">
        <f>IFERROR(VLOOKUP(B833,'Rekap Stock Barang'!$A$7:$G$153,2,0),"")</f>
        <v>Sayap Goreng</v>
      </c>
      <c r="D833" s="57">
        <v>4</v>
      </c>
      <c r="E833" s="26"/>
    </row>
    <row r="834" spans="1:5" ht="16.5" x14ac:dyDescent="0.2">
      <c r="A834" s="22"/>
      <c r="B834" s="59" t="s">
        <v>175</v>
      </c>
      <c r="C834" s="60" t="str">
        <f>IFERROR(VLOOKUP(B834,'Rekap Stock Barang'!$A$7:$G$153,2,0),"")</f>
        <v>Mineral</v>
      </c>
      <c r="D834" s="59">
        <v>37</v>
      </c>
      <c r="E834" s="26"/>
    </row>
    <row r="835" spans="1:5" ht="16.5" x14ac:dyDescent="0.2">
      <c r="A835" s="22"/>
      <c r="B835" s="59" t="s">
        <v>170</v>
      </c>
      <c r="C835" s="60" t="str">
        <f>IFERROR(VLOOKUP(B835,'Rekap Stock Barang'!$A$7:$G$153,2,0),"")</f>
        <v>Air Tahu</v>
      </c>
      <c r="D835" s="59">
        <v>5</v>
      </c>
      <c r="E835" s="26"/>
    </row>
    <row r="836" spans="1:5" ht="16.5" x14ac:dyDescent="0.2">
      <c r="A836" s="22"/>
      <c r="B836" s="59" t="s">
        <v>229</v>
      </c>
      <c r="C836" s="60" t="str">
        <f>IFERROR(VLOOKUP(B836,'Rekap Stock Barang'!$A$7:$G$153,2,0),"")</f>
        <v xml:space="preserve">Manggo Juice </v>
      </c>
      <c r="D836" s="59">
        <v>7</v>
      </c>
      <c r="E836" s="26"/>
    </row>
    <row r="837" spans="1:5" ht="16.5" x14ac:dyDescent="0.2">
      <c r="A837" s="22"/>
      <c r="B837" s="59" t="s">
        <v>226</v>
      </c>
      <c r="C837" s="60" t="str">
        <f>IFERROR(VLOOKUP(B837,'Rekap Stock Barang'!$A$7:$G$153,2,0),"")</f>
        <v>Mix Berries</v>
      </c>
      <c r="D837" s="59">
        <v>0</v>
      </c>
      <c r="E837" s="26"/>
    </row>
    <row r="838" spans="1:5" ht="16.5" x14ac:dyDescent="0.2">
      <c r="A838" s="22"/>
      <c r="B838" s="70" t="s">
        <v>202</v>
      </c>
      <c r="C838" s="60" t="str">
        <f>IFERROR(VLOOKUP(B838,'Rekap Stock Barang'!$A$7:$G$153,2,0),"")</f>
        <v xml:space="preserve">Zoda Water </v>
      </c>
      <c r="D838" s="70">
        <v>0</v>
      </c>
      <c r="E838" s="26"/>
    </row>
    <row r="839" spans="1:5" ht="17.25" thickBot="1" x14ac:dyDescent="0.25">
      <c r="A839" s="61"/>
      <c r="B839" s="62" t="s">
        <v>223</v>
      </c>
      <c r="C839" s="63" t="str">
        <f>IFERROR(VLOOKUP(B839,'Rekap Stock Barang'!$A$7:$G$153,2,0),"")</f>
        <v>Sirsak Juice</v>
      </c>
      <c r="D839" s="62">
        <v>2</v>
      </c>
      <c r="E839" s="26"/>
    </row>
    <row r="840" spans="1:5" ht="16.5" x14ac:dyDescent="0.2">
      <c r="A840" s="68">
        <v>46284</v>
      </c>
      <c r="B840" s="22" t="s">
        <v>322</v>
      </c>
      <c r="C840" s="40" t="str">
        <f>IFERROR(VLOOKUP(B840,'Rekap Stock Barang'!$A$7:$G$153,2,0),"")</f>
        <v xml:space="preserve">Keju </v>
      </c>
      <c r="D840" s="22">
        <v>1</v>
      </c>
      <c r="E840" s="26"/>
    </row>
    <row r="841" spans="1:5" ht="16.5" x14ac:dyDescent="0.2">
      <c r="A841" s="22"/>
      <c r="B841" s="22" t="s">
        <v>127</v>
      </c>
      <c r="C841" s="40" t="str">
        <f>IFERROR(VLOOKUP(B841,'Rekap Stock Barang'!$A$7:$G$153,2,0),"")</f>
        <v>Vanilli</v>
      </c>
      <c r="D841" s="22">
        <v>1</v>
      </c>
      <c r="E841" s="26"/>
    </row>
    <row r="842" spans="1:5" ht="16.5" x14ac:dyDescent="0.2">
      <c r="A842" s="22"/>
      <c r="B842" s="22" t="s">
        <v>323</v>
      </c>
      <c r="C842" s="40" t="str">
        <f>IFERROR(VLOOKUP(B842,'Rekap Stock Barang'!$A$7:$G$153,2,0),"")</f>
        <v xml:space="preserve">Mie Urai </v>
      </c>
      <c r="D842" s="22">
        <v>1</v>
      </c>
      <c r="E842" s="26"/>
    </row>
    <row r="843" spans="1:5" ht="16.5" x14ac:dyDescent="0.2">
      <c r="A843" s="22"/>
      <c r="B843" s="22" t="s">
        <v>210</v>
      </c>
      <c r="C843" s="40" t="str">
        <f>IFERROR(VLOOKUP(B843,'Rekap Stock Barang'!$A$7:$G$153,2,0),"")</f>
        <v>Nata Decoco</v>
      </c>
      <c r="D843" s="22">
        <v>1</v>
      </c>
      <c r="E843" s="26"/>
    </row>
    <row r="844" spans="1:5" ht="16.5" x14ac:dyDescent="0.2">
      <c r="A844" s="22"/>
      <c r="B844" s="22" t="s">
        <v>290</v>
      </c>
      <c r="C844" s="40" t="str">
        <f>IFERROR(VLOOKUP(B844,'Rekap Stock Barang'!$A$7:$G$153,2,0),"")</f>
        <v>Bumbu Serundeng</v>
      </c>
      <c r="D844" s="22">
        <v>5</v>
      </c>
      <c r="E844" s="26"/>
    </row>
    <row r="845" spans="1:5" ht="16.5" x14ac:dyDescent="0.2">
      <c r="A845" s="22"/>
      <c r="B845" s="22" t="s">
        <v>203</v>
      </c>
      <c r="C845" s="40" t="str">
        <f>IFERROR(VLOOKUP(B845,'Rekap Stock Barang'!$A$7:$G$153,2,0),"")</f>
        <v>Apple Juice Diamond</v>
      </c>
      <c r="D845" s="22">
        <v>1</v>
      </c>
      <c r="E845" s="26"/>
    </row>
    <row r="846" spans="1:5" ht="16.5" x14ac:dyDescent="0.2">
      <c r="A846" s="22"/>
      <c r="B846" s="22" t="s">
        <v>280</v>
      </c>
      <c r="C846" s="40" t="str">
        <f>IFERROR(VLOOKUP(B846,'Rekap Stock Barang'!$A$7:$G$153,2,0),"")</f>
        <v xml:space="preserve">Bumbu Racik </v>
      </c>
      <c r="D846" s="22">
        <v>3</v>
      </c>
      <c r="E846" s="26"/>
    </row>
    <row r="847" spans="1:5" ht="16.5" x14ac:dyDescent="0.2">
      <c r="A847" s="22"/>
      <c r="B847" s="22" t="s">
        <v>272</v>
      </c>
      <c r="C847" s="40" t="str">
        <f>IFERROR(VLOOKUP(B847,'Rekap Stock Barang'!$A$7:$G$153,2,0),"")</f>
        <v>Tepung Telur</v>
      </c>
      <c r="D847" s="22">
        <v>2</v>
      </c>
      <c r="E847" s="26"/>
    </row>
    <row r="848" spans="1:5" ht="16.5" x14ac:dyDescent="0.2">
      <c r="A848" s="22"/>
      <c r="B848" s="22" t="s">
        <v>164</v>
      </c>
      <c r="C848" s="40" t="str">
        <f>IFERROR(VLOOKUP(B848,'Rekap Stock Barang'!$A$7:$G$153,2,0),"")</f>
        <v xml:space="preserve">Ekonomi </v>
      </c>
      <c r="D848" s="22">
        <v>3</v>
      </c>
      <c r="E848" s="26"/>
    </row>
    <row r="849" spans="1:5" ht="16.5" x14ac:dyDescent="0.2">
      <c r="A849" s="22"/>
      <c r="B849" s="22" t="s">
        <v>308</v>
      </c>
      <c r="C849" s="40" t="str">
        <f>IFERROR(VLOOKUP(B849,'Rekap Stock Barang'!$A$7:$G$153,2,0),"")</f>
        <v xml:space="preserve">Bumbu Lidah </v>
      </c>
      <c r="D849" s="22">
        <v>1</v>
      </c>
      <c r="E849" s="26"/>
    </row>
    <row r="850" spans="1:5" ht="16.5" x14ac:dyDescent="0.2">
      <c r="A850" s="22"/>
      <c r="B850" s="22" t="s">
        <v>282</v>
      </c>
      <c r="C850" s="40" t="str">
        <f>IFERROR(VLOOKUP(B850,'Rekap Stock Barang'!$A$7:$G$153,2,0),"")</f>
        <v>Bumbu Kwetiau</v>
      </c>
      <c r="D850" s="22">
        <v>1</v>
      </c>
      <c r="E850" s="26"/>
    </row>
    <row r="851" spans="1:5" ht="16.5" x14ac:dyDescent="0.2">
      <c r="A851" s="22"/>
      <c r="B851" s="22" t="s">
        <v>209</v>
      </c>
      <c r="C851" s="40" t="str">
        <f>IFERROR(VLOOKUP(B851,'Rekap Stock Barang'!$A$7:$G$153,2,0),"")</f>
        <v>Kecap Maggi</v>
      </c>
      <c r="D851" s="22">
        <v>1</v>
      </c>
      <c r="E851" s="26"/>
    </row>
    <row r="852" spans="1:5" ht="16.5" x14ac:dyDescent="0.2">
      <c r="A852" s="22"/>
      <c r="B852" s="22" t="s">
        <v>270</v>
      </c>
      <c r="C852" s="40" t="str">
        <f>IFERROR(VLOOKUP(B852,'Rekap Stock Barang'!$A$7:$G$153,2,0),"")</f>
        <v>Tissue Toilet</v>
      </c>
      <c r="D852" s="22">
        <v>1</v>
      </c>
      <c r="E852" s="26"/>
    </row>
    <row r="853" spans="1:5" ht="16.5" x14ac:dyDescent="0.2">
      <c r="A853" s="22"/>
      <c r="B853" s="49" t="s">
        <v>273</v>
      </c>
      <c r="C853" s="40" t="str">
        <f>IFERROR(VLOOKUP(B853,'Rekap Stock Barang'!$A$7:$G$153,2,0),"")</f>
        <v>Sambal Bawang</v>
      </c>
      <c r="D853" s="49">
        <v>2</v>
      </c>
      <c r="E853" s="26"/>
    </row>
    <row r="854" spans="1:5" ht="16.5" x14ac:dyDescent="0.2">
      <c r="A854" s="22"/>
      <c r="B854" s="49" t="s">
        <v>292</v>
      </c>
      <c r="C854" s="40" t="str">
        <f>IFERROR(VLOOKUP(B854,'Rekap Stock Barang'!$A$7:$G$153,2,0),"")</f>
        <v>Sambal Kuning</v>
      </c>
      <c r="D854" s="49">
        <v>1</v>
      </c>
      <c r="E854" s="26"/>
    </row>
    <row r="855" spans="1:5" ht="16.5" x14ac:dyDescent="0.2">
      <c r="A855" s="22"/>
      <c r="B855" s="49" t="s">
        <v>263</v>
      </c>
      <c r="C855" s="40" t="str">
        <f>IFERROR(VLOOKUP(B855,'Rekap Stock Barang'!$A$7:$G$153,2,0),"")</f>
        <v>Sambal Terasi</v>
      </c>
      <c r="D855" s="49">
        <v>1</v>
      </c>
      <c r="E855" s="26"/>
    </row>
    <row r="856" spans="1:5" ht="16.5" x14ac:dyDescent="0.2">
      <c r="A856" s="22"/>
      <c r="B856" s="53" t="s">
        <v>130</v>
      </c>
      <c r="C856" s="54" t="str">
        <f>IFERROR(VLOOKUP(B856,'Rekap Stock Barang'!$A$7:$G$153,2,0),"")</f>
        <v>Plastik Sampah S</v>
      </c>
      <c r="D856" s="53">
        <v>1</v>
      </c>
      <c r="E856" s="26"/>
    </row>
    <row r="857" spans="1:5" ht="16.5" x14ac:dyDescent="0.2">
      <c r="A857" s="22"/>
      <c r="B857" s="53" t="s">
        <v>131</v>
      </c>
      <c r="C857" s="54" t="str">
        <f>IFERROR(VLOOKUP(B857,'Rekap Stock Barang'!$A$7:$G$153,2,0),"")</f>
        <v>Plastik Sampah M</v>
      </c>
      <c r="D857" s="53">
        <v>2</v>
      </c>
      <c r="E857" s="26"/>
    </row>
    <row r="858" spans="1:5" ht="16.5" x14ac:dyDescent="0.2">
      <c r="A858" s="22"/>
      <c r="B858" s="53" t="s">
        <v>132</v>
      </c>
      <c r="C858" s="54" t="str">
        <f>IFERROR(VLOOKUP(B858,'Rekap Stock Barang'!$A$7:$G$153,2,0),"")</f>
        <v>Plastik Sampah L</v>
      </c>
      <c r="D858" s="53">
        <v>1</v>
      </c>
      <c r="E858" s="26"/>
    </row>
    <row r="859" spans="1:5" ht="16.5" x14ac:dyDescent="0.2">
      <c r="A859" s="22"/>
      <c r="B859" s="53" t="s">
        <v>274</v>
      </c>
      <c r="C859" s="54" t="str">
        <f>IFERROR(VLOOKUP(B859,'Rekap Stock Barang'!$A$7:$G$153,2,0),"")</f>
        <v>Plastik Sampah XL</v>
      </c>
      <c r="D859" s="53">
        <v>1</v>
      </c>
      <c r="E859" s="26"/>
    </row>
    <row r="860" spans="1:5" ht="16.5" x14ac:dyDescent="0.2">
      <c r="A860" s="22"/>
      <c r="B860" s="55" t="s">
        <v>236</v>
      </c>
      <c r="C860" s="56" t="str">
        <f>IFERROR(VLOOKUP(B860,'Rekap Stock Barang'!$A$7:$G$153,2,0),"")</f>
        <v xml:space="preserve">Paha Gurih Manis </v>
      </c>
      <c r="D860" s="55">
        <v>4</v>
      </c>
      <c r="E860" s="26"/>
    </row>
    <row r="861" spans="1:5" ht="16.5" x14ac:dyDescent="0.2">
      <c r="A861" s="22"/>
      <c r="B861" s="55" t="s">
        <v>241</v>
      </c>
      <c r="C861" s="56" t="str">
        <f>IFERROR(VLOOKUP(B861,'Rekap Stock Barang'!$A$7:$G$153,2,0),"")</f>
        <v>Dada Gurih Manis</v>
      </c>
      <c r="D861" s="55">
        <v>2</v>
      </c>
      <c r="E861" s="26"/>
    </row>
    <row r="862" spans="1:5" ht="16.5" x14ac:dyDescent="0.2">
      <c r="A862" s="22"/>
      <c r="B862" s="55" t="s">
        <v>16</v>
      </c>
      <c r="C862" s="56" t="str">
        <f>IFERROR(VLOOKUP(B862,'Rekap Stock Barang'!$A$7:$G$153,2,0),"")</f>
        <v>Paha</v>
      </c>
      <c r="D862" s="55">
        <v>14</v>
      </c>
      <c r="E862" s="26"/>
    </row>
    <row r="863" spans="1:5" ht="16.5" x14ac:dyDescent="0.2">
      <c r="A863" s="22"/>
      <c r="B863" s="55" t="s">
        <v>19</v>
      </c>
      <c r="C863" s="56" t="str">
        <f>IFERROR(VLOOKUP(B863,'Rekap Stock Barang'!$A$7:$G$153,2,0),"")</f>
        <v>Dada</v>
      </c>
      <c r="D863" s="55">
        <v>9</v>
      </c>
      <c r="E863" s="26"/>
    </row>
    <row r="864" spans="1:5" ht="16.5" x14ac:dyDescent="0.2">
      <c r="A864" s="22"/>
      <c r="B864" s="55" t="s">
        <v>8</v>
      </c>
      <c r="C864" s="56" t="str">
        <f>IFERROR(VLOOKUP(B864,'Rekap Stock Barang'!$A$7:$G$153,2,0),"")</f>
        <v xml:space="preserve">Ayam Suwir </v>
      </c>
      <c r="D864" s="55">
        <v>17</v>
      </c>
      <c r="E864" s="26"/>
    </row>
    <row r="865" spans="1:5" ht="16.5" x14ac:dyDescent="0.2">
      <c r="A865" s="22"/>
      <c r="B865" s="55" t="s">
        <v>9</v>
      </c>
      <c r="C865" s="56" t="str">
        <f>IFERROR(VLOOKUP(B865,'Rekap Stock Barang'!$A$7:$G$153,2,0),"")</f>
        <v xml:space="preserve">Topping Kwetiau </v>
      </c>
      <c r="D865" s="55">
        <v>11</v>
      </c>
      <c r="E865" s="26"/>
    </row>
    <row r="866" spans="1:5" ht="16.5" x14ac:dyDescent="0.2">
      <c r="A866" s="22"/>
      <c r="B866" s="55" t="s">
        <v>243</v>
      </c>
      <c r="C866" s="56" t="str">
        <f>IFERROR(VLOOKUP(B866,'Rekap Stock Barang'!$A$7:$G$153,2,0),"")</f>
        <v xml:space="preserve">Daging Slice </v>
      </c>
      <c r="D866" s="55">
        <v>6</v>
      </c>
      <c r="E866" s="26"/>
    </row>
    <row r="867" spans="1:5" ht="16.5" x14ac:dyDescent="0.2">
      <c r="A867" s="22"/>
      <c r="B867" s="55" t="s">
        <v>14</v>
      </c>
      <c r="C867" s="56" t="str">
        <f>IFERROR(VLOOKUP(B867,'Rekap Stock Barang'!$A$7:$G$153,2,0),"")</f>
        <v>Ayam Jamur</v>
      </c>
      <c r="D867" s="55">
        <v>12</v>
      </c>
      <c r="E867" s="26"/>
    </row>
    <row r="868" spans="1:5" ht="16.5" x14ac:dyDescent="0.2">
      <c r="A868" s="22"/>
      <c r="B868" s="55" t="s">
        <v>20</v>
      </c>
      <c r="C868" s="56" t="str">
        <f>IFERROR(VLOOKUP(B868,'Rekap Stock Barang'!$A$7:$G$153,2,0),"")</f>
        <v>Cumi</v>
      </c>
      <c r="D868" s="55">
        <v>7</v>
      </c>
      <c r="E868" s="26"/>
    </row>
    <row r="869" spans="1:5" ht="16.5" x14ac:dyDescent="0.2">
      <c r="A869" s="22"/>
      <c r="B869" s="55" t="s">
        <v>38</v>
      </c>
      <c r="C869" s="56" t="str">
        <f>IFERROR(VLOOKUP(B869,'Rekap Stock Barang'!$A$7:$G$153,2,0),"")</f>
        <v>Daging Sambal HIjau</v>
      </c>
      <c r="D869" s="55">
        <v>2</v>
      </c>
      <c r="E869" s="26"/>
    </row>
    <row r="870" spans="1:5" ht="16.5" x14ac:dyDescent="0.2">
      <c r="A870" s="22"/>
      <c r="B870" s="55" t="s">
        <v>22</v>
      </c>
      <c r="C870" s="56" t="str">
        <f>IFERROR(VLOOKUP(B870,'Rekap Stock Barang'!$A$7:$G$153,2,0),"")</f>
        <v>Kulit</v>
      </c>
      <c r="D870" s="55">
        <v>11</v>
      </c>
      <c r="E870" s="26"/>
    </row>
    <row r="871" spans="1:5" ht="16.5" x14ac:dyDescent="0.2">
      <c r="A871" s="22"/>
      <c r="B871" s="55" t="s">
        <v>28</v>
      </c>
      <c r="C871" s="56" t="str">
        <f>IFERROR(VLOOKUP(B871,'Rekap Stock Barang'!$A$7:$G$153,2,0),"")</f>
        <v xml:space="preserve">Topping Nasi Gila </v>
      </c>
      <c r="D871" s="55">
        <v>3</v>
      </c>
      <c r="E871" s="26"/>
    </row>
    <row r="872" spans="1:5" ht="16.5" x14ac:dyDescent="0.2">
      <c r="A872" s="22"/>
      <c r="B872" s="55" t="s">
        <v>24</v>
      </c>
      <c r="C872" s="56" t="str">
        <f>IFERROR(VLOOKUP(B872,'Rekap Stock Barang'!$A$7:$G$153,2,0),"")</f>
        <v xml:space="preserve">Lidah </v>
      </c>
      <c r="D872" s="55">
        <v>11</v>
      </c>
      <c r="E872" s="26"/>
    </row>
    <row r="873" spans="1:5" ht="16.5" x14ac:dyDescent="0.2">
      <c r="A873" s="22"/>
      <c r="B873" s="55" t="s">
        <v>288</v>
      </c>
      <c r="C873" s="56" t="str">
        <f>IFERROR(VLOOKUP(B873,'Rekap Stock Barang'!$A$7:$G$153,2,0),"")</f>
        <v>Pete</v>
      </c>
      <c r="D873" s="55">
        <v>0</v>
      </c>
      <c r="E873" s="26"/>
    </row>
    <row r="874" spans="1:5" ht="16.5" x14ac:dyDescent="0.2">
      <c r="A874" s="22"/>
      <c r="B874" s="55" t="s">
        <v>275</v>
      </c>
      <c r="C874" s="56" t="str">
        <f>IFERROR(VLOOKUP(B874,'Rekap Stock Barang'!$A$7:$G$153,2,0),"")</f>
        <v xml:space="preserve">Teri Pete </v>
      </c>
      <c r="D874" s="55">
        <v>4</v>
      </c>
      <c r="E874" s="26"/>
    </row>
    <row r="875" spans="1:5" ht="16.5" x14ac:dyDescent="0.2">
      <c r="A875" s="22"/>
      <c r="B875" s="55" t="s">
        <v>279</v>
      </c>
      <c r="C875" s="56" t="str">
        <f>IFERROR(VLOOKUP(B875,'Rekap Stock Barang'!$A$7:$G$153,2,0),"")</f>
        <v>Lidah Goreng Segara</v>
      </c>
      <c r="D875" s="55">
        <v>24</v>
      </c>
      <c r="E875" s="26"/>
    </row>
    <row r="876" spans="1:5" ht="16.5" x14ac:dyDescent="0.2">
      <c r="A876" s="22"/>
      <c r="B876" s="55" t="s">
        <v>10</v>
      </c>
      <c r="C876" s="56" t="str">
        <f>IFERROR(VLOOKUP(B876,'Rekap Stock Barang'!$A$7:$G$153,2,0),"")</f>
        <v>Topping Mbakmoy</v>
      </c>
      <c r="D876" s="55">
        <v>1</v>
      </c>
      <c r="E876" s="26"/>
    </row>
    <row r="877" spans="1:5" ht="16.5" x14ac:dyDescent="0.2">
      <c r="A877" s="22"/>
      <c r="B877" s="55" t="s">
        <v>276</v>
      </c>
      <c r="C877" s="56" t="str">
        <f>IFERROR(VLOOKUP(B877,'Rekap Stock Barang'!$A$7:$G$153,2,0),"")</f>
        <v>Sambal Baby Cumi</v>
      </c>
      <c r="D877" s="55">
        <v>11</v>
      </c>
      <c r="E877" s="26"/>
    </row>
    <row r="878" spans="1:5" ht="16.5" x14ac:dyDescent="0.2">
      <c r="A878" s="22"/>
      <c r="B878" s="57" t="s">
        <v>31</v>
      </c>
      <c r="C878" s="58" t="str">
        <f>IFERROR(VLOOKUP(B878,'Rekap Stock Barang'!$A$7:$G$153,2,0),"")</f>
        <v>Bagor</v>
      </c>
      <c r="D878" s="57">
        <v>9</v>
      </c>
      <c r="E878" s="26"/>
    </row>
    <row r="879" spans="1:5" ht="16.5" x14ac:dyDescent="0.2">
      <c r="A879" s="22"/>
      <c r="B879" s="57" t="s">
        <v>178</v>
      </c>
      <c r="C879" s="58" t="str">
        <f>IFERROR(VLOOKUP(B879,'Rekap Stock Barang'!$A$7:$G$153,2,0),"")</f>
        <v xml:space="preserve">Cireng </v>
      </c>
      <c r="D879" s="57">
        <v>2</v>
      </c>
      <c r="E879" s="26"/>
    </row>
    <row r="880" spans="1:5" ht="16.5" x14ac:dyDescent="0.2">
      <c r="A880" s="22"/>
      <c r="B880" s="57" t="s">
        <v>238</v>
      </c>
      <c r="C880" s="58" t="str">
        <f>IFERROR(VLOOKUP(B880,'Rekap Stock Barang'!$A$7:$G$153,2,0),"")</f>
        <v>Sayap Goreng</v>
      </c>
      <c r="D880" s="57">
        <v>7</v>
      </c>
      <c r="E880" s="26"/>
    </row>
    <row r="881" spans="1:5" ht="16.5" x14ac:dyDescent="0.2">
      <c r="A881" s="22"/>
      <c r="B881" s="59" t="s">
        <v>175</v>
      </c>
      <c r="C881" s="60" t="str">
        <f>IFERROR(VLOOKUP(B881,'Rekap Stock Barang'!$A$7:$G$153,2,0),"")</f>
        <v>Mineral</v>
      </c>
      <c r="D881" s="59">
        <v>49</v>
      </c>
      <c r="E881" s="26"/>
    </row>
    <row r="882" spans="1:5" ht="16.5" x14ac:dyDescent="0.2">
      <c r="A882" s="22"/>
      <c r="B882" s="59" t="s">
        <v>170</v>
      </c>
      <c r="C882" s="60" t="str">
        <f>IFERROR(VLOOKUP(B882,'Rekap Stock Barang'!$A$7:$G$153,2,0),"")</f>
        <v>Air Tahu</v>
      </c>
      <c r="D882" s="59">
        <v>8</v>
      </c>
      <c r="E882" s="26"/>
    </row>
    <row r="883" spans="1:5" ht="16.5" x14ac:dyDescent="0.2">
      <c r="A883" s="22"/>
      <c r="B883" s="59" t="s">
        <v>229</v>
      </c>
      <c r="C883" s="60" t="str">
        <f>IFERROR(VLOOKUP(B883,'Rekap Stock Barang'!$A$7:$G$153,2,0),"")</f>
        <v xml:space="preserve">Manggo Juice </v>
      </c>
      <c r="D883" s="59">
        <v>2</v>
      </c>
      <c r="E883" s="26"/>
    </row>
    <row r="884" spans="1:5" ht="16.5" x14ac:dyDescent="0.2">
      <c r="A884" s="22"/>
      <c r="B884" s="59" t="s">
        <v>226</v>
      </c>
      <c r="C884" s="60" t="str">
        <f>IFERROR(VLOOKUP(B884,'Rekap Stock Barang'!$A$7:$G$153,2,0),"")</f>
        <v>Mix Berries</v>
      </c>
      <c r="D884" s="59">
        <v>6</v>
      </c>
      <c r="E884" s="26"/>
    </row>
    <row r="885" spans="1:5" ht="16.5" x14ac:dyDescent="0.2">
      <c r="A885" s="22"/>
      <c r="B885" s="70" t="s">
        <v>202</v>
      </c>
      <c r="C885" s="60" t="str">
        <f>IFERROR(VLOOKUP(B885,'Rekap Stock Barang'!$A$7:$G$153,2,0),"")</f>
        <v xml:space="preserve">Zoda Water </v>
      </c>
      <c r="D885" s="70">
        <v>0</v>
      </c>
      <c r="E885" s="26"/>
    </row>
    <row r="886" spans="1:5" ht="17.25" thickBot="1" x14ac:dyDescent="0.25">
      <c r="A886" s="61"/>
      <c r="B886" s="62" t="s">
        <v>223</v>
      </c>
      <c r="C886" s="63" t="str">
        <f>IFERROR(VLOOKUP(B886,'Rekap Stock Barang'!$A$7:$G$153,2,0),"")</f>
        <v>Sirsak Juice</v>
      </c>
      <c r="D886" s="62">
        <v>0</v>
      </c>
      <c r="E886" s="26"/>
    </row>
    <row r="887" spans="1:5" ht="16.5" x14ac:dyDescent="0.2">
      <c r="A887" s="21">
        <v>46285</v>
      </c>
      <c r="B887" s="49" t="s">
        <v>266</v>
      </c>
      <c r="C887" s="40" t="str">
        <f>IFERROR(VLOOKUP(B887,'Rekap Stock Barang'!$A$7:$G$153,2,0),"")</f>
        <v>Tepung Terigu</v>
      </c>
      <c r="D887" s="49">
        <v>11</v>
      </c>
      <c r="E887" s="26"/>
    </row>
    <row r="888" spans="1:5" ht="16.5" x14ac:dyDescent="0.2">
      <c r="A888" s="22"/>
      <c r="B888" s="49" t="s">
        <v>184</v>
      </c>
      <c r="C888" s="40" t="str">
        <f>IFERROR(VLOOKUP(B888,'Rekap Stock Barang'!$A$7:$G$153,2,0),"")</f>
        <v xml:space="preserve">Tepung Maizena </v>
      </c>
      <c r="D888" s="49">
        <v>4</v>
      </c>
      <c r="E888" s="26"/>
    </row>
    <row r="889" spans="1:5" ht="16.5" x14ac:dyDescent="0.2">
      <c r="A889" s="22"/>
      <c r="B889" s="49" t="s">
        <v>187</v>
      </c>
      <c r="C889" s="40" t="str">
        <f>IFERROR(VLOOKUP(B889,'Rekap Stock Barang'!$A$7:$G$153,2,0),"")</f>
        <v xml:space="preserve">Tepung Tapioka </v>
      </c>
      <c r="D889" s="49">
        <v>4</v>
      </c>
      <c r="E889" s="26"/>
    </row>
    <row r="890" spans="1:5" ht="16.5" x14ac:dyDescent="0.2">
      <c r="A890" s="22"/>
      <c r="B890" s="49" t="s">
        <v>215</v>
      </c>
      <c r="C890" s="40" t="str">
        <f>IFERROR(VLOOKUP(B890,'Rekap Stock Barang'!$A$7:$G$153,2,0),"")</f>
        <v>Cup Ice</v>
      </c>
      <c r="D890" s="49">
        <v>1</v>
      </c>
      <c r="E890" s="26"/>
    </row>
    <row r="891" spans="1:5" ht="16.5" x14ac:dyDescent="0.2">
      <c r="A891" s="22"/>
      <c r="B891" s="49" t="s">
        <v>290</v>
      </c>
      <c r="C891" s="40" t="str">
        <f>IFERROR(VLOOKUP(B891,'Rekap Stock Barang'!$A$7:$G$153,2,0),"")</f>
        <v>Bumbu Serundeng</v>
      </c>
      <c r="D891" s="49">
        <v>3</v>
      </c>
      <c r="E891" s="26"/>
    </row>
    <row r="892" spans="1:5" ht="16.5" x14ac:dyDescent="0.2">
      <c r="A892" s="22"/>
      <c r="B892" s="49" t="s">
        <v>164</v>
      </c>
      <c r="C892" s="40" t="str">
        <f>IFERROR(VLOOKUP(B892,'Rekap Stock Barang'!$A$7:$G$153,2,0),"")</f>
        <v xml:space="preserve">Ekonomi </v>
      </c>
      <c r="D892" s="49">
        <v>5</v>
      </c>
      <c r="E892" s="26"/>
    </row>
    <row r="893" spans="1:5" ht="16.5" x14ac:dyDescent="0.2">
      <c r="A893" s="22"/>
      <c r="B893" s="49" t="s">
        <v>217</v>
      </c>
      <c r="C893" s="40" t="str">
        <f>IFERROR(VLOOKUP(B893,'Rekap Stock Barang'!$A$7:$G$153,2,0),"")</f>
        <v>Thermal Paper</v>
      </c>
      <c r="D893" s="49">
        <v>2</v>
      </c>
      <c r="E893" s="26"/>
    </row>
    <row r="894" spans="1:5" ht="16.5" x14ac:dyDescent="0.2">
      <c r="A894" s="22"/>
      <c r="B894" s="49" t="s">
        <v>189</v>
      </c>
      <c r="C894" s="40" t="str">
        <f>IFERROR(VLOOKUP(B894,'Rekap Stock Barang'!$A$7:$G$153,2,0),"")</f>
        <v xml:space="preserve">Susu Evaporasi </v>
      </c>
      <c r="D894" s="49">
        <v>1</v>
      </c>
      <c r="E894" s="26"/>
    </row>
    <row r="895" spans="1:5" ht="16.5" x14ac:dyDescent="0.2">
      <c r="A895" s="22"/>
      <c r="B895" s="49" t="s">
        <v>293</v>
      </c>
      <c r="C895" s="40" t="str">
        <f>IFERROR(VLOOKUP(B895,'Rekap Stock Barang'!$A$7:$G$153,2,0),"")</f>
        <v>Susu Kental Manis Carnation</v>
      </c>
      <c r="D895" s="49">
        <v>4</v>
      </c>
      <c r="E895" s="26"/>
    </row>
    <row r="896" spans="1:5" ht="16.5" x14ac:dyDescent="0.2">
      <c r="A896" s="22"/>
      <c r="B896" s="49" t="s">
        <v>192</v>
      </c>
      <c r="C896" s="40" t="str">
        <f>IFERROR(VLOOKUP(B896,'Rekap Stock Barang'!$A$7:$G$153,2,0),"")</f>
        <v xml:space="preserve">Max Creamer </v>
      </c>
      <c r="D896" s="49">
        <v>1</v>
      </c>
      <c r="E896" s="26"/>
    </row>
    <row r="897" spans="1:5" ht="16.5" x14ac:dyDescent="0.2">
      <c r="A897" s="22"/>
      <c r="B897" s="49" t="s">
        <v>281</v>
      </c>
      <c r="C897" s="40" t="str">
        <f>IFERROR(VLOOKUP(B897,'Rekap Stock Barang'!$A$7:$G$153,2,0),"")</f>
        <v>Diamond Milk</v>
      </c>
      <c r="D897" s="49">
        <v>1</v>
      </c>
      <c r="E897" s="26"/>
    </row>
    <row r="898" spans="1:5" ht="16.5" x14ac:dyDescent="0.2">
      <c r="A898" s="22"/>
      <c r="B898" s="49" t="s">
        <v>204</v>
      </c>
      <c r="C898" s="40" t="str">
        <f>IFERROR(VLOOKUP(B898,'Rekap Stock Barang'!$A$7:$G$153,2,0),"")</f>
        <v xml:space="preserve">Gula </v>
      </c>
      <c r="D898" s="49">
        <v>1</v>
      </c>
      <c r="E898" s="26"/>
    </row>
    <row r="899" spans="1:5" ht="16.5" x14ac:dyDescent="0.2">
      <c r="A899" s="22"/>
      <c r="B899" s="49" t="s">
        <v>203</v>
      </c>
      <c r="C899" s="40" t="str">
        <f>IFERROR(VLOOKUP(B899,'Rekap Stock Barang'!$A$7:$G$153,2,0),"")</f>
        <v>Apple Juice Diamond</v>
      </c>
      <c r="D899" s="49">
        <v>1</v>
      </c>
      <c r="E899" s="26"/>
    </row>
    <row r="900" spans="1:5" ht="16.5" x14ac:dyDescent="0.2">
      <c r="A900" s="22"/>
      <c r="B900" s="49" t="s">
        <v>312</v>
      </c>
      <c r="C900" s="40" t="str">
        <f>IFERROR(VLOOKUP(B900,'Rekap Stock Barang'!$A$7:$G$153,2,0),"")</f>
        <v>Sambal Terong</v>
      </c>
      <c r="D900" s="49">
        <v>1</v>
      </c>
      <c r="E900" s="26"/>
    </row>
    <row r="901" spans="1:5" ht="16.5" x14ac:dyDescent="0.2">
      <c r="A901" s="22"/>
      <c r="B901" s="49" t="s">
        <v>207</v>
      </c>
      <c r="C901" s="40" t="str">
        <f>IFERROR(VLOOKUP(B901,'Rekap Stock Barang'!$A$7:$G$153,2,0),"")</f>
        <v>Knorr</v>
      </c>
      <c r="D901" s="49">
        <v>1</v>
      </c>
      <c r="E901" s="26"/>
    </row>
    <row r="902" spans="1:5" ht="16.5" x14ac:dyDescent="0.2">
      <c r="A902" s="22"/>
      <c r="B902" s="49" t="s">
        <v>306</v>
      </c>
      <c r="C902" s="40" t="str">
        <f>IFERROR(VLOOKUP(B902,'Rekap Stock Barang'!$A$7:$G$153,2,0),"")</f>
        <v>Raja Rasa</v>
      </c>
      <c r="D902" s="49">
        <v>3</v>
      </c>
      <c r="E902" s="26"/>
    </row>
    <row r="903" spans="1:5" ht="16.5" x14ac:dyDescent="0.2">
      <c r="A903" s="22"/>
      <c r="B903" s="49" t="s">
        <v>270</v>
      </c>
      <c r="C903" s="40" t="str">
        <f>IFERROR(VLOOKUP(B903,'Rekap Stock Barang'!$A$7:$G$153,2,0),"")</f>
        <v>Tissue Toilet</v>
      </c>
      <c r="D903" s="49">
        <v>3</v>
      </c>
      <c r="E903" s="26"/>
    </row>
    <row r="904" spans="1:5" ht="16.5" x14ac:dyDescent="0.2">
      <c r="A904" s="22"/>
      <c r="B904" s="49" t="s">
        <v>273</v>
      </c>
      <c r="C904" s="40" t="str">
        <f>IFERROR(VLOOKUP(B904,'Rekap Stock Barang'!$A$7:$G$153,2,0),"")</f>
        <v>Sambal Bawang</v>
      </c>
      <c r="D904" s="49">
        <v>1</v>
      </c>
      <c r="E904" s="26"/>
    </row>
    <row r="905" spans="1:5" ht="16.5" x14ac:dyDescent="0.2">
      <c r="A905" s="22"/>
      <c r="B905" s="49" t="s">
        <v>283</v>
      </c>
      <c r="C905" s="40" t="str">
        <f>IFERROR(VLOOKUP(B905,'Rekap Stock Barang'!$A$7:$G$153,2,0),"")</f>
        <v>Sambal Petis</v>
      </c>
      <c r="D905" s="49">
        <v>1</v>
      </c>
      <c r="E905" s="26"/>
    </row>
    <row r="906" spans="1:5" ht="16.5" x14ac:dyDescent="0.2">
      <c r="A906" s="22"/>
      <c r="B906" s="49" t="s">
        <v>296</v>
      </c>
      <c r="C906" s="40" t="str">
        <f>IFERROR(VLOOKUP(B906,'Rekap Stock Barang'!$A$7:$G$153,2,0),"")</f>
        <v xml:space="preserve">Bumbu Teri </v>
      </c>
      <c r="D906" s="49">
        <v>1</v>
      </c>
      <c r="E906" s="26"/>
    </row>
    <row r="907" spans="1:5" ht="16.5" x14ac:dyDescent="0.2">
      <c r="A907" s="22"/>
      <c r="B907" s="49" t="s">
        <v>282</v>
      </c>
      <c r="C907" s="40" t="str">
        <f>IFERROR(VLOOKUP(B907,'Rekap Stock Barang'!$A$7:$G$153,2,0),"")</f>
        <v>Bumbu Kwetiau</v>
      </c>
      <c r="D907" s="49">
        <v>1</v>
      </c>
      <c r="E907" s="26"/>
    </row>
    <row r="908" spans="1:5" ht="16.5" x14ac:dyDescent="0.2">
      <c r="A908" s="22"/>
      <c r="B908" s="49" t="s">
        <v>148</v>
      </c>
      <c r="C908" s="40" t="str">
        <f>IFERROR(VLOOKUP(B908,'Rekap Stock Barang'!$A$7:$G$153,2,0),"")</f>
        <v>Tissue Meja</v>
      </c>
      <c r="D908" s="49">
        <v>1</v>
      </c>
      <c r="E908" s="26"/>
    </row>
    <row r="909" spans="1:5" ht="16.5" x14ac:dyDescent="0.2">
      <c r="A909" s="22"/>
      <c r="B909" s="49" t="s">
        <v>301</v>
      </c>
      <c r="C909" s="40" t="str">
        <f>IFERROR(VLOOKUP(B909,'Rekap Stock Barang'!$A$7:$G$153,2,0),"")</f>
        <v>Cup Sambal</v>
      </c>
      <c r="D909" s="49">
        <v>1</v>
      </c>
      <c r="E909" s="26"/>
    </row>
    <row r="910" spans="1:5" ht="16.5" x14ac:dyDescent="0.2">
      <c r="A910" s="22"/>
      <c r="B910" s="49" t="s">
        <v>201</v>
      </c>
      <c r="C910" s="40" t="str">
        <f>IFERROR(VLOOKUP(B910,'Rekap Stock Barang'!$A$7:$G$153,2,0),"")</f>
        <v xml:space="preserve">Soda Polaris </v>
      </c>
      <c r="D910" s="49">
        <v>2</v>
      </c>
      <c r="E910" s="26"/>
    </row>
    <row r="911" spans="1:5" ht="16.5" x14ac:dyDescent="0.2">
      <c r="A911" s="28" t="s">
        <v>326</v>
      </c>
      <c r="B911" s="76" t="s">
        <v>275</v>
      </c>
      <c r="C911" s="74" t="str">
        <f>IFERROR(VLOOKUP(B911,'Rekap Stock Barang'!$A$7:$G$153,2,0),"")</f>
        <v xml:space="preserve">Teri Pete </v>
      </c>
      <c r="D911" s="76">
        <v>2</v>
      </c>
      <c r="E911" s="26"/>
    </row>
    <row r="912" spans="1:5" ht="16.5" x14ac:dyDescent="0.2">
      <c r="A912" s="22"/>
      <c r="B912" s="49" t="s">
        <v>217</v>
      </c>
      <c r="C912" s="40" t="str">
        <f>IFERROR(VLOOKUP(B912,'Rekap Stock Barang'!$A$7:$G$153,2,0),"")</f>
        <v>Thermal Paper</v>
      </c>
      <c r="D912" s="49">
        <v>1</v>
      </c>
      <c r="E912" s="26"/>
    </row>
    <row r="913" spans="1:5" ht="16.5" x14ac:dyDescent="0.2">
      <c r="A913" s="22"/>
      <c r="B913" s="53" t="s">
        <v>130</v>
      </c>
      <c r="C913" s="54" t="str">
        <f>IFERROR(VLOOKUP(B913,'Rekap Stock Barang'!$A$7:$G$153,2,0),"")</f>
        <v>Plastik Sampah S</v>
      </c>
      <c r="D913" s="53">
        <v>3</v>
      </c>
      <c r="E913" s="26"/>
    </row>
    <row r="914" spans="1:5" ht="16.5" x14ac:dyDescent="0.2">
      <c r="A914" s="22"/>
      <c r="B914" s="53" t="s">
        <v>131</v>
      </c>
      <c r="C914" s="54" t="str">
        <f>IFERROR(VLOOKUP(B914,'Rekap Stock Barang'!$A$7:$G$153,2,0),"")</f>
        <v>Plastik Sampah M</v>
      </c>
      <c r="D914" s="53">
        <v>2</v>
      </c>
      <c r="E914" s="26"/>
    </row>
    <row r="915" spans="1:5" ht="16.5" x14ac:dyDescent="0.2">
      <c r="A915" s="22"/>
      <c r="B915" s="53" t="s">
        <v>132</v>
      </c>
      <c r="C915" s="54" t="str">
        <f>IFERROR(VLOOKUP(B915,'Rekap Stock Barang'!$A$7:$G$153,2,0),"")</f>
        <v>Plastik Sampah L</v>
      </c>
      <c r="D915" s="53">
        <v>1</v>
      </c>
      <c r="E915" s="26"/>
    </row>
    <row r="916" spans="1:5" ht="16.5" x14ac:dyDescent="0.2">
      <c r="A916" s="22"/>
      <c r="B916" s="53" t="s">
        <v>274</v>
      </c>
      <c r="C916" s="54" t="str">
        <f>IFERROR(VLOOKUP(B916,'Rekap Stock Barang'!$A$7:$G$153,2,0),"")</f>
        <v>Plastik Sampah XL</v>
      </c>
      <c r="D916" s="53">
        <v>1</v>
      </c>
      <c r="E916" s="26"/>
    </row>
    <row r="917" spans="1:5" ht="16.5" x14ac:dyDescent="0.2">
      <c r="A917" s="22"/>
      <c r="B917" s="55" t="s">
        <v>236</v>
      </c>
      <c r="C917" s="56" t="str">
        <f>IFERROR(VLOOKUP(B917,'Rekap Stock Barang'!$A$7:$G$153,2,0),"")</f>
        <v xml:space="preserve">Paha Gurih Manis </v>
      </c>
      <c r="D917" s="55">
        <v>4</v>
      </c>
      <c r="E917" s="26"/>
    </row>
    <row r="918" spans="1:5" ht="16.5" x14ac:dyDescent="0.2">
      <c r="A918" s="22"/>
      <c r="B918" s="55" t="s">
        <v>241</v>
      </c>
      <c r="C918" s="56" t="str">
        <f>IFERROR(VLOOKUP(B918,'Rekap Stock Barang'!$A$7:$G$153,2,0),"")</f>
        <v>Dada Gurih Manis</v>
      </c>
      <c r="D918" s="55">
        <v>1</v>
      </c>
      <c r="E918" s="26"/>
    </row>
    <row r="919" spans="1:5" ht="16.5" x14ac:dyDescent="0.2">
      <c r="A919" s="22"/>
      <c r="B919" s="55" t="s">
        <v>16</v>
      </c>
      <c r="C919" s="56" t="str">
        <f>IFERROR(VLOOKUP(B919,'Rekap Stock Barang'!$A$7:$G$153,2,0),"")</f>
        <v>Paha</v>
      </c>
      <c r="D919" s="55">
        <v>13</v>
      </c>
      <c r="E919" s="26"/>
    </row>
    <row r="920" spans="1:5" ht="16.5" x14ac:dyDescent="0.2">
      <c r="A920" s="22"/>
      <c r="B920" s="55" t="s">
        <v>19</v>
      </c>
      <c r="C920" s="56" t="str">
        <f>IFERROR(VLOOKUP(B920,'Rekap Stock Barang'!$A$7:$G$153,2,0),"")</f>
        <v>Dada</v>
      </c>
      <c r="D920" s="55">
        <v>12</v>
      </c>
      <c r="E920" s="26"/>
    </row>
    <row r="921" spans="1:5" ht="16.5" x14ac:dyDescent="0.2">
      <c r="A921" s="22"/>
      <c r="B921" s="55" t="s">
        <v>8</v>
      </c>
      <c r="C921" s="56" t="str">
        <f>IFERROR(VLOOKUP(B921,'Rekap Stock Barang'!$A$7:$G$153,2,0),"")</f>
        <v xml:space="preserve">Ayam Suwir </v>
      </c>
      <c r="D921" s="55">
        <v>26</v>
      </c>
      <c r="E921" s="26"/>
    </row>
    <row r="922" spans="1:5" ht="16.5" x14ac:dyDescent="0.2">
      <c r="A922" s="22"/>
      <c r="B922" s="55" t="s">
        <v>9</v>
      </c>
      <c r="C922" s="56" t="str">
        <f>IFERROR(VLOOKUP(B922,'Rekap Stock Barang'!$A$7:$G$153,2,0),"")</f>
        <v xml:space="preserve">Topping Kwetiau </v>
      </c>
      <c r="D922" s="55">
        <v>9</v>
      </c>
      <c r="E922" s="26"/>
    </row>
    <row r="923" spans="1:5" ht="16.5" x14ac:dyDescent="0.2">
      <c r="A923" s="22"/>
      <c r="B923" s="55" t="s">
        <v>243</v>
      </c>
      <c r="C923" s="56" t="str">
        <f>IFERROR(VLOOKUP(B923,'Rekap Stock Barang'!$A$7:$G$153,2,0),"")</f>
        <v xml:space="preserve">Daging Slice </v>
      </c>
      <c r="D923" s="55">
        <v>4</v>
      </c>
      <c r="E923" s="26"/>
    </row>
    <row r="924" spans="1:5" ht="16.5" x14ac:dyDescent="0.2">
      <c r="A924" s="22"/>
      <c r="B924" s="55" t="s">
        <v>14</v>
      </c>
      <c r="C924" s="56" t="str">
        <f>IFERROR(VLOOKUP(B924,'Rekap Stock Barang'!$A$7:$G$153,2,0),"")</f>
        <v>Ayam Jamur</v>
      </c>
      <c r="D924" s="55">
        <v>9</v>
      </c>
      <c r="E924" s="26"/>
    </row>
    <row r="925" spans="1:5" ht="16.5" x14ac:dyDescent="0.2">
      <c r="A925" s="22"/>
      <c r="B925" s="55" t="s">
        <v>20</v>
      </c>
      <c r="C925" s="56" t="str">
        <f>IFERROR(VLOOKUP(B925,'Rekap Stock Barang'!$A$7:$G$153,2,0),"")</f>
        <v>Cumi</v>
      </c>
      <c r="D925" s="55">
        <v>13</v>
      </c>
      <c r="E925" s="26"/>
    </row>
    <row r="926" spans="1:5" ht="16.5" x14ac:dyDescent="0.2">
      <c r="A926" s="22"/>
      <c r="B926" s="55" t="s">
        <v>38</v>
      </c>
      <c r="C926" s="56" t="str">
        <f>IFERROR(VLOOKUP(B926,'Rekap Stock Barang'!$A$7:$G$153,2,0),"")</f>
        <v>Daging Sambal HIjau</v>
      </c>
      <c r="D926" s="55">
        <v>6</v>
      </c>
      <c r="E926" s="26"/>
    </row>
    <row r="927" spans="1:5" ht="16.5" x14ac:dyDescent="0.2">
      <c r="A927" s="22"/>
      <c r="B927" s="55" t="s">
        <v>22</v>
      </c>
      <c r="C927" s="56" t="str">
        <f>IFERROR(VLOOKUP(B927,'Rekap Stock Barang'!$A$7:$G$153,2,0),"")</f>
        <v>Kulit</v>
      </c>
      <c r="D927" s="55">
        <v>15</v>
      </c>
      <c r="E927" s="26"/>
    </row>
    <row r="928" spans="1:5" ht="16.5" x14ac:dyDescent="0.2">
      <c r="A928" s="22"/>
      <c r="B928" s="55" t="s">
        <v>28</v>
      </c>
      <c r="C928" s="56" t="str">
        <f>IFERROR(VLOOKUP(B928,'Rekap Stock Barang'!$A$7:$G$153,2,0),"")</f>
        <v xml:space="preserve">Topping Nasi Gila </v>
      </c>
      <c r="D928" s="55">
        <v>1</v>
      </c>
      <c r="E928" s="26"/>
    </row>
    <row r="929" spans="1:5" ht="16.5" x14ac:dyDescent="0.2">
      <c r="A929" s="22"/>
      <c r="B929" s="55" t="s">
        <v>24</v>
      </c>
      <c r="C929" s="56" t="str">
        <f>IFERROR(VLOOKUP(B929,'Rekap Stock Barang'!$A$7:$G$153,2,0),"")</f>
        <v xml:space="preserve">Lidah </v>
      </c>
      <c r="D929" s="55">
        <v>8</v>
      </c>
      <c r="E929" s="26"/>
    </row>
    <row r="930" spans="1:5" ht="16.5" x14ac:dyDescent="0.2">
      <c r="A930" s="22"/>
      <c r="B930" s="55" t="s">
        <v>288</v>
      </c>
      <c r="C930" s="56" t="str">
        <f>IFERROR(VLOOKUP(B930,'Rekap Stock Barang'!$A$7:$G$153,2,0),"")</f>
        <v>Pete</v>
      </c>
      <c r="D930" s="55">
        <v>1</v>
      </c>
      <c r="E930" s="26"/>
    </row>
    <row r="931" spans="1:5" ht="16.5" x14ac:dyDescent="0.2">
      <c r="A931" s="22"/>
      <c r="B931" s="55" t="s">
        <v>275</v>
      </c>
      <c r="C931" s="56" t="str">
        <f>IFERROR(VLOOKUP(B931,'Rekap Stock Barang'!$A$7:$G$153,2,0),"")</f>
        <v xml:space="preserve">Teri Pete </v>
      </c>
      <c r="D931" s="55">
        <v>7</v>
      </c>
      <c r="E931" s="26"/>
    </row>
    <row r="932" spans="1:5" ht="16.5" x14ac:dyDescent="0.2">
      <c r="A932" s="22"/>
      <c r="B932" s="55" t="s">
        <v>279</v>
      </c>
      <c r="C932" s="56" t="str">
        <f>IFERROR(VLOOKUP(B932,'Rekap Stock Barang'!$A$7:$G$153,2,0),"")</f>
        <v>Lidah Goreng Segara</v>
      </c>
      <c r="D932" s="55">
        <v>6</v>
      </c>
      <c r="E932" s="26"/>
    </row>
    <row r="933" spans="1:5" ht="16.5" x14ac:dyDescent="0.2">
      <c r="A933" s="22"/>
      <c r="B933" s="55" t="s">
        <v>10</v>
      </c>
      <c r="C933" s="56" t="str">
        <f>IFERROR(VLOOKUP(B933,'Rekap Stock Barang'!$A$7:$G$153,2,0),"")</f>
        <v>Topping Mbakmoy</v>
      </c>
      <c r="D933" s="55">
        <v>3</v>
      </c>
      <c r="E933" s="26"/>
    </row>
    <row r="934" spans="1:5" ht="16.5" x14ac:dyDescent="0.2">
      <c r="A934" s="22"/>
      <c r="B934" s="55" t="s">
        <v>276</v>
      </c>
      <c r="C934" s="56" t="str">
        <f>IFERROR(VLOOKUP(B934,'Rekap Stock Barang'!$A$7:$G$153,2,0),"")</f>
        <v>Sambal Baby Cumi</v>
      </c>
      <c r="D934" s="55">
        <v>16</v>
      </c>
      <c r="E934" s="26"/>
    </row>
    <row r="935" spans="1:5" ht="16.5" x14ac:dyDescent="0.2">
      <c r="A935" s="22"/>
      <c r="B935" s="57" t="s">
        <v>31</v>
      </c>
      <c r="C935" s="58" t="str">
        <f>IFERROR(VLOOKUP(B935,'Rekap Stock Barang'!$A$7:$G$153,2,0),"")</f>
        <v>Bagor</v>
      </c>
      <c r="D935" s="57">
        <v>17</v>
      </c>
      <c r="E935" s="26"/>
    </row>
    <row r="936" spans="1:5" ht="16.5" x14ac:dyDescent="0.2">
      <c r="A936" s="22"/>
      <c r="B936" s="57" t="s">
        <v>178</v>
      </c>
      <c r="C936" s="58" t="str">
        <f>IFERROR(VLOOKUP(B936,'Rekap Stock Barang'!$A$7:$G$153,2,0),"")</f>
        <v xml:space="preserve">Cireng </v>
      </c>
      <c r="D936" s="57">
        <v>2</v>
      </c>
      <c r="E936" s="26"/>
    </row>
    <row r="937" spans="1:5" ht="16.5" x14ac:dyDescent="0.2">
      <c r="A937" s="22"/>
      <c r="B937" s="57" t="s">
        <v>238</v>
      </c>
      <c r="C937" s="58" t="str">
        <f>IFERROR(VLOOKUP(B937,'Rekap Stock Barang'!$A$7:$G$153,2,0),"")</f>
        <v>Sayap Goreng</v>
      </c>
      <c r="D937" s="57">
        <v>3</v>
      </c>
      <c r="E937" s="26"/>
    </row>
    <row r="938" spans="1:5" ht="16.5" x14ac:dyDescent="0.2">
      <c r="A938" s="22"/>
      <c r="B938" s="59" t="s">
        <v>175</v>
      </c>
      <c r="C938" s="60" t="str">
        <f>IFERROR(VLOOKUP(B938,'Rekap Stock Barang'!$A$7:$G$153,2,0),"")</f>
        <v>Mineral</v>
      </c>
      <c r="D938" s="59">
        <v>63</v>
      </c>
      <c r="E938" s="26"/>
    </row>
    <row r="939" spans="1:5" ht="16.5" x14ac:dyDescent="0.2">
      <c r="A939" s="22"/>
      <c r="B939" s="59" t="s">
        <v>170</v>
      </c>
      <c r="C939" s="60" t="str">
        <f>IFERROR(VLOOKUP(B939,'Rekap Stock Barang'!$A$7:$G$153,2,0),"")</f>
        <v>Air Tahu</v>
      </c>
      <c r="D939" s="59">
        <v>7</v>
      </c>
      <c r="E939" s="26"/>
    </row>
    <row r="940" spans="1:5" ht="16.5" x14ac:dyDescent="0.2">
      <c r="A940" s="22"/>
      <c r="B940" s="59" t="s">
        <v>229</v>
      </c>
      <c r="C940" s="60" t="str">
        <f>IFERROR(VLOOKUP(B940,'Rekap Stock Barang'!$A$7:$G$153,2,0),"")</f>
        <v xml:space="preserve">Manggo Juice </v>
      </c>
      <c r="D940" s="59">
        <v>7</v>
      </c>
      <c r="E940" s="26"/>
    </row>
    <row r="941" spans="1:5" ht="16.5" x14ac:dyDescent="0.2">
      <c r="A941" s="22"/>
      <c r="B941" s="59" t="s">
        <v>226</v>
      </c>
      <c r="C941" s="60" t="str">
        <f>IFERROR(VLOOKUP(B941,'Rekap Stock Barang'!$A$7:$G$153,2,0),"")</f>
        <v>Mix Berries</v>
      </c>
      <c r="D941" s="59">
        <v>3</v>
      </c>
      <c r="E941" s="26"/>
    </row>
    <row r="942" spans="1:5" ht="16.5" x14ac:dyDescent="0.2">
      <c r="A942" s="22"/>
      <c r="B942" s="70" t="s">
        <v>202</v>
      </c>
      <c r="C942" s="60" t="str">
        <f>IFERROR(VLOOKUP(B942,'Rekap Stock Barang'!$A$7:$G$153,2,0),"")</f>
        <v xml:space="preserve">Zoda Water </v>
      </c>
      <c r="D942" s="70">
        <v>0</v>
      </c>
      <c r="E942" s="26"/>
    </row>
    <row r="943" spans="1:5" ht="17.25" thickBot="1" x14ac:dyDescent="0.25">
      <c r="A943" s="61"/>
      <c r="B943" s="62" t="s">
        <v>223</v>
      </c>
      <c r="C943" s="63" t="str">
        <f>IFERROR(VLOOKUP(B943,'Rekap Stock Barang'!$A$7:$G$153,2,0),"")</f>
        <v>Sirsak Juice</v>
      </c>
      <c r="D943" s="62">
        <v>2</v>
      </c>
      <c r="E943" s="26"/>
    </row>
    <row r="944" spans="1:5" ht="16.5" x14ac:dyDescent="0.2">
      <c r="A944" s="21">
        <v>46286</v>
      </c>
      <c r="B944" s="49" t="s">
        <v>280</v>
      </c>
      <c r="C944" s="40" t="str">
        <f>IFERROR(VLOOKUP(B944,'Rekap Stock Barang'!$A$7:$G$153,2,0),"")</f>
        <v xml:space="preserve">Bumbu Racik </v>
      </c>
      <c r="D944" s="49">
        <v>5</v>
      </c>
      <c r="E944" s="26"/>
    </row>
    <row r="945" spans="1:5" ht="16.5" x14ac:dyDescent="0.2">
      <c r="A945" s="22"/>
      <c r="B945" s="49" t="s">
        <v>290</v>
      </c>
      <c r="C945" s="40" t="str">
        <f>IFERROR(VLOOKUP(B945,'Rekap Stock Barang'!$A$7:$G$153,2,0),"")</f>
        <v>Bumbu Serundeng</v>
      </c>
      <c r="D945" s="49">
        <v>2</v>
      </c>
      <c r="E945" s="26"/>
    </row>
    <row r="946" spans="1:5" ht="16.5" x14ac:dyDescent="0.2">
      <c r="A946" s="22"/>
      <c r="B946" s="49" t="s">
        <v>204</v>
      </c>
      <c r="C946" s="40" t="str">
        <f>IFERROR(VLOOKUP(B946,'Rekap Stock Barang'!$A$7:$G$153,2,0),"")</f>
        <v xml:space="preserve">Gula </v>
      </c>
      <c r="D946" s="49">
        <v>1</v>
      </c>
      <c r="E946" s="26"/>
    </row>
    <row r="947" spans="1:5" ht="16.5" x14ac:dyDescent="0.2">
      <c r="A947" s="22"/>
      <c r="B947" s="49" t="s">
        <v>270</v>
      </c>
      <c r="C947" s="40" t="str">
        <f>IFERROR(VLOOKUP(B947,'Rekap Stock Barang'!$A$7:$G$153,2,0),"")</f>
        <v>Tissue Toilet</v>
      </c>
      <c r="D947" s="49">
        <v>5</v>
      </c>
      <c r="E947" s="26"/>
    </row>
    <row r="948" spans="1:5" ht="16.5" x14ac:dyDescent="0.2">
      <c r="A948" s="22"/>
      <c r="B948" s="49" t="s">
        <v>191</v>
      </c>
      <c r="C948" s="40" t="str">
        <f>IFERROR(VLOOKUP(B948,'Rekap Stock Barang'!$A$7:$G$153,2,0),"")</f>
        <v>Sun Cara 1L</v>
      </c>
      <c r="D948" s="49">
        <v>1</v>
      </c>
      <c r="E948" s="26"/>
    </row>
    <row r="949" spans="1:5" ht="16.5" x14ac:dyDescent="0.2">
      <c r="A949" s="22"/>
      <c r="B949" s="22" t="s">
        <v>154</v>
      </c>
      <c r="C949" s="3" t="str">
        <f>IFERROR(VLOOKUP(B949,'Rekap Stock Barang'!$A$7:$G$153,2,0),"")</f>
        <v>Plastik Bima uk.15</v>
      </c>
      <c r="D949" s="22">
        <v>2</v>
      </c>
      <c r="E949" s="26"/>
    </row>
    <row r="950" spans="1:5" ht="16.5" x14ac:dyDescent="0.2">
      <c r="A950" s="22"/>
      <c r="B950" s="5" t="s">
        <v>212</v>
      </c>
      <c r="C950" s="3" t="str">
        <f>IFERROR(VLOOKUP(B950,'Rekap Stock Barang'!$A$7:$G$153,2,0),"")</f>
        <v>Pewarna Pink</v>
      </c>
      <c r="D950" s="5">
        <v>1</v>
      </c>
      <c r="E950" s="26"/>
    </row>
    <row r="951" spans="1:5" ht="16.5" x14ac:dyDescent="0.2">
      <c r="A951" s="22"/>
      <c r="B951" s="5" t="s">
        <v>164</v>
      </c>
      <c r="C951" s="3" t="str">
        <f>IFERROR(VLOOKUP(B951,'Rekap Stock Barang'!$A$7:$G$153,2,0),"")</f>
        <v xml:space="preserve">Ekonomi </v>
      </c>
      <c r="D951" s="5">
        <v>6</v>
      </c>
      <c r="E951" s="26"/>
    </row>
    <row r="952" spans="1:5" ht="16.5" x14ac:dyDescent="0.2">
      <c r="A952" s="22"/>
      <c r="B952" s="5" t="s">
        <v>271</v>
      </c>
      <c r="C952" s="3" t="str">
        <f>IFERROR(VLOOKUP(B952,'Rekap Stock Barang'!$A$7:$G$153,2,0),"")</f>
        <v>Plastik Soup XS</v>
      </c>
      <c r="D952" s="5">
        <v>1</v>
      </c>
      <c r="E952" s="26"/>
    </row>
    <row r="953" spans="1:5" ht="16.5" x14ac:dyDescent="0.2">
      <c r="A953" s="22"/>
      <c r="B953" s="5" t="s">
        <v>204</v>
      </c>
      <c r="C953" s="3" t="str">
        <f>IFERROR(VLOOKUP(B953,'Rekap Stock Barang'!$A$7:$G$153,2,0),"")</f>
        <v xml:space="preserve">Gula </v>
      </c>
      <c r="D953" s="5">
        <v>1</v>
      </c>
      <c r="E953" s="26"/>
    </row>
    <row r="954" spans="1:5" ht="16.5" x14ac:dyDescent="0.2">
      <c r="A954" s="21"/>
      <c r="B954" s="5" t="s">
        <v>217</v>
      </c>
      <c r="C954" s="3" t="str">
        <f>IFERROR(VLOOKUP(B954,'Rekap Stock Barang'!$A$7:$G$153,2,0),"")</f>
        <v>Thermal Paper</v>
      </c>
      <c r="D954" s="5">
        <v>7</v>
      </c>
      <c r="E954" s="26"/>
    </row>
    <row r="955" spans="1:5" ht="16.5" x14ac:dyDescent="0.2">
      <c r="A955" s="22"/>
      <c r="B955" s="5" t="s">
        <v>273</v>
      </c>
      <c r="C955" s="3" t="str">
        <f>IFERROR(VLOOKUP(B955,'Rekap Stock Barang'!$A$7:$G$153,2,0),"")</f>
        <v>Sambal Bawang</v>
      </c>
      <c r="D955" s="5">
        <v>1</v>
      </c>
      <c r="E955" s="26"/>
    </row>
    <row r="956" spans="1:5" ht="16.5" x14ac:dyDescent="0.2">
      <c r="A956" s="22" t="s">
        <v>328</v>
      </c>
      <c r="B956" s="5" t="s">
        <v>327</v>
      </c>
      <c r="C956" s="3" t="str">
        <f>IFERROR(VLOOKUP(B956,'Rekap Stock Barang'!$A$7:$G$153,2,0),"")</f>
        <v>Plastik Sampah M</v>
      </c>
      <c r="D956" s="5">
        <v>3</v>
      </c>
      <c r="E956" s="26"/>
    </row>
    <row r="957" spans="1:5" ht="16.5" x14ac:dyDescent="0.2">
      <c r="A957" s="21"/>
      <c r="B957" s="5" t="s">
        <v>181</v>
      </c>
      <c r="C957" s="3" t="str">
        <f>IFERROR(VLOOKUP(B957,'Rekap Stock Barang'!$A$7:$G$153,2,0),"")</f>
        <v xml:space="preserve">Sagu Mutiara </v>
      </c>
      <c r="D957" s="5">
        <v>2</v>
      </c>
      <c r="E957" s="26"/>
    </row>
    <row r="958" spans="1:5" ht="16.5" x14ac:dyDescent="0.2">
      <c r="A958" s="21"/>
      <c r="B958" s="5" t="s">
        <v>194</v>
      </c>
      <c r="C958" s="3" t="str">
        <f>IFERROR(VLOOKUP(B958,'Rekap Stock Barang'!$A$7:$G$153,2,0),"")</f>
        <v xml:space="preserve">Cashew Milk </v>
      </c>
      <c r="D958" s="5">
        <v>1</v>
      </c>
      <c r="E958" s="26"/>
    </row>
    <row r="959" spans="1:5" ht="16.5" x14ac:dyDescent="0.2">
      <c r="A959" s="22"/>
      <c r="B959" s="5" t="s">
        <v>281</v>
      </c>
      <c r="C959" s="3" t="str">
        <f>IFERROR(VLOOKUP(B959,'Rekap Stock Barang'!$A$7:$G$153,2,0),"")</f>
        <v>Diamond Milk</v>
      </c>
      <c r="D959" s="5">
        <v>1</v>
      </c>
      <c r="E959" s="26"/>
    </row>
    <row r="960" spans="1:5" ht="16.5" x14ac:dyDescent="0.2">
      <c r="A960" s="22"/>
      <c r="B960" s="5" t="s">
        <v>193</v>
      </c>
      <c r="C960" s="3" t="str">
        <f>IFERROR(VLOOKUP(B960,'Rekap Stock Barang'!$A$7:$G$153,2,0),"")</f>
        <v xml:space="preserve">Oatside Milk </v>
      </c>
      <c r="D960" s="5">
        <v>1</v>
      </c>
      <c r="E960" s="26"/>
    </row>
    <row r="961" spans="1:5" ht="16.5" x14ac:dyDescent="0.2">
      <c r="A961" s="21"/>
      <c r="B961" s="5" t="s">
        <v>292</v>
      </c>
      <c r="C961" s="3" t="str">
        <f>IFERROR(VLOOKUP(B961,'Rekap Stock Barang'!$A$7:$G$153,2,0),"")</f>
        <v>Sambal Kuning</v>
      </c>
      <c r="D961" s="5">
        <v>1</v>
      </c>
      <c r="E961" s="26"/>
    </row>
    <row r="962" spans="1:5" ht="16.5" x14ac:dyDescent="0.2">
      <c r="A962" s="22"/>
      <c r="B962" s="5" t="s">
        <v>308</v>
      </c>
      <c r="C962" s="3" t="str">
        <f>IFERROR(VLOOKUP(B962,'Rekap Stock Barang'!$A$7:$G$153,2,0),"")</f>
        <v xml:space="preserve">Bumbu Lidah </v>
      </c>
      <c r="D962" s="5">
        <v>1</v>
      </c>
      <c r="E962" s="26"/>
    </row>
    <row r="963" spans="1:5" ht="16.5" x14ac:dyDescent="0.2">
      <c r="A963" s="22"/>
      <c r="B963" s="5" t="s">
        <v>187</v>
      </c>
      <c r="C963" s="3" t="str">
        <f>IFERROR(VLOOKUP(B963,'Rekap Stock Barang'!$A$7:$G$153,2,0),"")</f>
        <v xml:space="preserve">Tepung Tapioka </v>
      </c>
      <c r="D963" s="5">
        <v>1</v>
      </c>
      <c r="E963" s="26"/>
    </row>
    <row r="964" spans="1:5" ht="16.5" x14ac:dyDescent="0.2">
      <c r="A964" s="21"/>
      <c r="B964" s="5" t="s">
        <v>286</v>
      </c>
      <c r="C964" s="3" t="str">
        <f>IFERROR(VLOOKUP(B964,'Rekap Stock Barang'!$A$7:$G$153,2,0),"")</f>
        <v>Bumbu Segara</v>
      </c>
      <c r="D964" s="5">
        <v>1</v>
      </c>
      <c r="E964" s="26"/>
    </row>
    <row r="965" spans="1:5" ht="16.5" x14ac:dyDescent="0.2">
      <c r="A965" s="21"/>
      <c r="B965" s="5" t="s">
        <v>188</v>
      </c>
      <c r="C965" s="3" t="str">
        <f>IFERROR(VLOOKUP(B965,'Rekap Stock Barang'!$A$7:$G$153,2,0),"")</f>
        <v xml:space="preserve">Mie Urai </v>
      </c>
      <c r="D965" s="5">
        <v>2</v>
      </c>
      <c r="E965" s="26"/>
    </row>
    <row r="966" spans="1:5" ht="16.5" x14ac:dyDescent="0.2">
      <c r="A966" s="81"/>
      <c r="B966" s="16" t="s">
        <v>272</v>
      </c>
      <c r="C966" s="39" t="str">
        <f>IFERROR(VLOOKUP(B966,'Rekap Stock Barang'!$A$7:$G$153,2,0),"")</f>
        <v>Tepung Telur</v>
      </c>
      <c r="D966" s="16">
        <v>3</v>
      </c>
      <c r="E966" s="26"/>
    </row>
    <row r="967" spans="1:5" ht="16.5" x14ac:dyDescent="0.2">
      <c r="A967" s="22"/>
      <c r="B967" s="53" t="s">
        <v>130</v>
      </c>
      <c r="C967" s="54" t="str">
        <f>IFERROR(VLOOKUP(B967,'Rekap Stock Barang'!$A$7:$G$153,2,0),"")</f>
        <v>Plastik Sampah S</v>
      </c>
      <c r="D967" s="53">
        <v>2</v>
      </c>
      <c r="E967" s="26"/>
    </row>
    <row r="968" spans="1:5" ht="16.5" x14ac:dyDescent="0.2">
      <c r="A968" s="22"/>
      <c r="B968" s="53" t="s">
        <v>131</v>
      </c>
      <c r="C968" s="54" t="str">
        <f>IFERROR(VLOOKUP(B968,'Rekap Stock Barang'!$A$7:$G$153,2,0),"")</f>
        <v>Plastik Sampah M</v>
      </c>
      <c r="D968" s="53">
        <v>2</v>
      </c>
      <c r="E968" s="26"/>
    </row>
    <row r="969" spans="1:5" ht="16.5" x14ac:dyDescent="0.2">
      <c r="A969" s="22"/>
      <c r="B969" s="53" t="s">
        <v>132</v>
      </c>
      <c r="C969" s="54" t="str">
        <f>IFERROR(VLOOKUP(B969,'Rekap Stock Barang'!$A$7:$G$153,2,0),"")</f>
        <v>Plastik Sampah L</v>
      </c>
      <c r="D969" s="53">
        <v>1</v>
      </c>
      <c r="E969" s="26"/>
    </row>
    <row r="970" spans="1:5" ht="16.5" x14ac:dyDescent="0.2">
      <c r="A970" s="22"/>
      <c r="B970" s="53" t="s">
        <v>274</v>
      </c>
      <c r="C970" s="54" t="str">
        <f>IFERROR(VLOOKUP(B970,'Rekap Stock Barang'!$A$7:$G$153,2,0),"")</f>
        <v>Plastik Sampah XL</v>
      </c>
      <c r="D970" s="53">
        <v>1</v>
      </c>
      <c r="E970" s="26"/>
    </row>
    <row r="971" spans="1:5" ht="16.5" x14ac:dyDescent="0.2">
      <c r="A971" s="22"/>
      <c r="B971" s="55" t="s">
        <v>236</v>
      </c>
      <c r="C971" s="56" t="str">
        <f>IFERROR(VLOOKUP(B971,'Rekap Stock Barang'!$A$7:$G$153,2,0),"")</f>
        <v xml:space="preserve">Paha Gurih Manis </v>
      </c>
      <c r="D971" s="55">
        <v>1</v>
      </c>
      <c r="E971" s="26"/>
    </row>
    <row r="972" spans="1:5" ht="16.5" x14ac:dyDescent="0.2">
      <c r="A972" s="22"/>
      <c r="B972" s="55" t="s">
        <v>241</v>
      </c>
      <c r="C972" s="56" t="str">
        <f>IFERROR(VLOOKUP(B972,'Rekap Stock Barang'!$A$7:$G$153,2,0),"")</f>
        <v>Dada Gurih Manis</v>
      </c>
      <c r="D972" s="55">
        <v>3</v>
      </c>
      <c r="E972" s="26"/>
    </row>
    <row r="973" spans="1:5" ht="16.5" x14ac:dyDescent="0.2">
      <c r="A973" s="22"/>
      <c r="B973" s="55" t="s">
        <v>16</v>
      </c>
      <c r="C973" s="56" t="str">
        <f>IFERROR(VLOOKUP(B973,'Rekap Stock Barang'!$A$7:$G$153,2,0),"")</f>
        <v>Paha</v>
      </c>
      <c r="D973" s="55">
        <v>11</v>
      </c>
      <c r="E973" s="26"/>
    </row>
    <row r="974" spans="1:5" ht="16.5" x14ac:dyDescent="0.2">
      <c r="A974" s="22"/>
      <c r="B974" s="55" t="s">
        <v>19</v>
      </c>
      <c r="C974" s="56" t="str">
        <f>IFERROR(VLOOKUP(B974,'Rekap Stock Barang'!$A$7:$G$153,2,0),"")</f>
        <v>Dada</v>
      </c>
      <c r="D974" s="55">
        <v>14</v>
      </c>
      <c r="E974" s="26"/>
    </row>
    <row r="975" spans="1:5" ht="16.5" x14ac:dyDescent="0.2">
      <c r="A975" s="22"/>
      <c r="B975" s="55" t="s">
        <v>8</v>
      </c>
      <c r="C975" s="56" t="str">
        <f>IFERROR(VLOOKUP(B975,'Rekap Stock Barang'!$A$7:$G$153,2,0),"")</f>
        <v xml:space="preserve">Ayam Suwir </v>
      </c>
      <c r="D975" s="55">
        <v>15</v>
      </c>
      <c r="E975" s="26"/>
    </row>
    <row r="976" spans="1:5" ht="16.5" x14ac:dyDescent="0.2">
      <c r="A976" s="22"/>
      <c r="B976" s="55" t="s">
        <v>9</v>
      </c>
      <c r="C976" s="56" t="str">
        <f>IFERROR(VLOOKUP(B976,'Rekap Stock Barang'!$A$7:$G$153,2,0),"")</f>
        <v xml:space="preserve">Topping Kwetiau </v>
      </c>
      <c r="D976" s="55">
        <v>4</v>
      </c>
      <c r="E976" s="26"/>
    </row>
    <row r="977" spans="1:5" ht="16.5" x14ac:dyDescent="0.2">
      <c r="A977" s="22"/>
      <c r="B977" s="55" t="s">
        <v>243</v>
      </c>
      <c r="C977" s="56" t="str">
        <f>IFERROR(VLOOKUP(B977,'Rekap Stock Barang'!$A$7:$G$153,2,0),"")</f>
        <v xml:space="preserve">Daging Slice </v>
      </c>
      <c r="D977" s="55">
        <v>9</v>
      </c>
      <c r="E977" s="26"/>
    </row>
    <row r="978" spans="1:5" ht="16.5" x14ac:dyDescent="0.2">
      <c r="A978" s="22"/>
      <c r="B978" s="55" t="s">
        <v>14</v>
      </c>
      <c r="C978" s="56" t="str">
        <f>IFERROR(VLOOKUP(B978,'Rekap Stock Barang'!$A$7:$G$153,2,0),"")</f>
        <v>Ayam Jamur</v>
      </c>
      <c r="D978" s="55">
        <v>6</v>
      </c>
      <c r="E978" s="26"/>
    </row>
    <row r="979" spans="1:5" ht="16.5" x14ac:dyDescent="0.2">
      <c r="A979" s="22"/>
      <c r="B979" s="55" t="s">
        <v>20</v>
      </c>
      <c r="C979" s="56" t="str">
        <f>IFERROR(VLOOKUP(B979,'Rekap Stock Barang'!$A$7:$G$153,2,0),"")</f>
        <v>Cumi</v>
      </c>
      <c r="D979" s="55">
        <v>14</v>
      </c>
      <c r="E979" s="26"/>
    </row>
    <row r="980" spans="1:5" ht="16.5" x14ac:dyDescent="0.2">
      <c r="A980" s="22"/>
      <c r="B980" s="55" t="s">
        <v>38</v>
      </c>
      <c r="C980" s="56" t="str">
        <f>IFERROR(VLOOKUP(B980,'Rekap Stock Barang'!$A$7:$G$153,2,0),"")</f>
        <v>Daging Sambal HIjau</v>
      </c>
      <c r="D980" s="55">
        <v>8</v>
      </c>
      <c r="E980" s="26"/>
    </row>
    <row r="981" spans="1:5" ht="16.5" x14ac:dyDescent="0.2">
      <c r="A981" s="22"/>
      <c r="B981" s="55" t="s">
        <v>22</v>
      </c>
      <c r="C981" s="56" t="str">
        <f>IFERROR(VLOOKUP(B981,'Rekap Stock Barang'!$A$7:$G$153,2,0),"")</f>
        <v>Kulit</v>
      </c>
      <c r="D981" s="55">
        <v>0</v>
      </c>
      <c r="E981" s="26"/>
    </row>
    <row r="982" spans="1:5" ht="16.5" x14ac:dyDescent="0.2">
      <c r="A982" s="22"/>
      <c r="B982" s="55" t="s">
        <v>28</v>
      </c>
      <c r="C982" s="56" t="str">
        <f>IFERROR(VLOOKUP(B982,'Rekap Stock Barang'!$A$7:$G$153,2,0),"")</f>
        <v xml:space="preserve">Topping Nasi Gila </v>
      </c>
      <c r="D982" s="55">
        <v>4</v>
      </c>
      <c r="E982" s="26"/>
    </row>
    <row r="983" spans="1:5" ht="16.5" x14ac:dyDescent="0.2">
      <c r="A983" s="22"/>
      <c r="B983" s="55" t="s">
        <v>24</v>
      </c>
      <c r="C983" s="56" t="str">
        <f>IFERROR(VLOOKUP(B983,'Rekap Stock Barang'!$A$7:$G$153,2,0),"")</f>
        <v xml:space="preserve">Lidah </v>
      </c>
      <c r="D983" s="55">
        <v>5</v>
      </c>
      <c r="E983" s="26"/>
    </row>
    <row r="984" spans="1:5" ht="16.5" x14ac:dyDescent="0.2">
      <c r="A984" s="22"/>
      <c r="B984" s="55" t="s">
        <v>288</v>
      </c>
      <c r="C984" s="56" t="str">
        <f>IFERROR(VLOOKUP(B984,'Rekap Stock Barang'!$A$7:$G$153,2,0),"")</f>
        <v>Pete</v>
      </c>
      <c r="D984" s="55">
        <v>0</v>
      </c>
      <c r="E984" s="26"/>
    </row>
    <row r="985" spans="1:5" ht="16.5" x14ac:dyDescent="0.2">
      <c r="A985" s="22"/>
      <c r="B985" s="55" t="s">
        <v>275</v>
      </c>
      <c r="C985" s="56" t="str">
        <f>IFERROR(VLOOKUP(B985,'Rekap Stock Barang'!$A$7:$G$153,2,0),"")</f>
        <v xml:space="preserve">Teri Pete </v>
      </c>
      <c r="D985" s="55">
        <v>3</v>
      </c>
      <c r="E985" s="26"/>
    </row>
    <row r="986" spans="1:5" ht="16.5" x14ac:dyDescent="0.2">
      <c r="A986" s="22"/>
      <c r="B986" s="55" t="s">
        <v>279</v>
      </c>
      <c r="C986" s="56" t="str">
        <f>IFERROR(VLOOKUP(B986,'Rekap Stock Barang'!$A$7:$G$153,2,0),"")</f>
        <v>Lidah Goreng Segara</v>
      </c>
      <c r="D986" s="55">
        <v>5</v>
      </c>
      <c r="E986" s="26"/>
    </row>
    <row r="987" spans="1:5" ht="16.5" x14ac:dyDescent="0.2">
      <c r="A987" s="22"/>
      <c r="B987" s="55" t="s">
        <v>10</v>
      </c>
      <c r="C987" s="56" t="str">
        <f>IFERROR(VLOOKUP(B987,'Rekap Stock Barang'!$A$7:$G$153,2,0),"")</f>
        <v>Topping Mbakmoy</v>
      </c>
      <c r="D987" s="55">
        <v>1</v>
      </c>
      <c r="E987" s="26"/>
    </row>
    <row r="988" spans="1:5" ht="16.5" x14ac:dyDescent="0.2">
      <c r="A988" s="22"/>
      <c r="B988" s="55" t="s">
        <v>276</v>
      </c>
      <c r="C988" s="56" t="str">
        <f>IFERROR(VLOOKUP(B988,'Rekap Stock Barang'!$A$7:$G$153,2,0),"")</f>
        <v>Sambal Baby Cumi</v>
      </c>
      <c r="D988" s="55">
        <v>17</v>
      </c>
      <c r="E988" s="26"/>
    </row>
    <row r="989" spans="1:5" ht="16.5" x14ac:dyDescent="0.2">
      <c r="A989" s="22"/>
      <c r="B989" s="57" t="s">
        <v>31</v>
      </c>
      <c r="C989" s="58" t="str">
        <f>IFERROR(VLOOKUP(B989,'Rekap Stock Barang'!$A$7:$G$153,2,0),"")</f>
        <v>Bagor</v>
      </c>
      <c r="D989" s="57">
        <v>12</v>
      </c>
      <c r="E989" s="26"/>
    </row>
    <row r="990" spans="1:5" ht="16.5" x14ac:dyDescent="0.2">
      <c r="A990" s="22"/>
      <c r="B990" s="57" t="s">
        <v>178</v>
      </c>
      <c r="C990" s="58" t="str">
        <f>IFERROR(VLOOKUP(B990,'Rekap Stock Barang'!$A$7:$G$153,2,0),"")</f>
        <v xml:space="preserve">Cireng </v>
      </c>
      <c r="D990" s="57">
        <v>2</v>
      </c>
      <c r="E990" s="26"/>
    </row>
    <row r="991" spans="1:5" ht="16.5" x14ac:dyDescent="0.2">
      <c r="A991" s="22"/>
      <c r="B991" s="57" t="s">
        <v>238</v>
      </c>
      <c r="C991" s="58" t="str">
        <f>IFERROR(VLOOKUP(B991,'Rekap Stock Barang'!$A$7:$G$153,2,0),"")</f>
        <v>Sayap Goreng</v>
      </c>
      <c r="D991" s="57">
        <v>2</v>
      </c>
      <c r="E991" s="26"/>
    </row>
    <row r="992" spans="1:5" ht="16.5" x14ac:dyDescent="0.2">
      <c r="A992" s="22"/>
      <c r="B992" s="59" t="s">
        <v>175</v>
      </c>
      <c r="C992" s="60" t="str">
        <f>IFERROR(VLOOKUP(B992,'Rekap Stock Barang'!$A$7:$G$153,2,0),"")</f>
        <v>Mineral</v>
      </c>
      <c r="D992" s="59">
        <v>56</v>
      </c>
      <c r="E992" s="26"/>
    </row>
    <row r="993" spans="1:5" ht="16.5" x14ac:dyDescent="0.2">
      <c r="A993" s="22"/>
      <c r="B993" s="59" t="s">
        <v>170</v>
      </c>
      <c r="C993" s="60" t="str">
        <f>IFERROR(VLOOKUP(B993,'Rekap Stock Barang'!$A$7:$G$153,2,0),"")</f>
        <v>Air Tahu</v>
      </c>
      <c r="D993" s="59">
        <v>3</v>
      </c>
      <c r="E993" s="26"/>
    </row>
    <row r="994" spans="1:5" ht="16.5" x14ac:dyDescent="0.2">
      <c r="A994" s="22"/>
      <c r="B994" s="59" t="s">
        <v>229</v>
      </c>
      <c r="C994" s="60" t="str">
        <f>IFERROR(VLOOKUP(B994,'Rekap Stock Barang'!$A$7:$G$153,2,0),"")</f>
        <v xml:space="preserve">Manggo Juice </v>
      </c>
      <c r="D994" s="59">
        <v>2</v>
      </c>
      <c r="E994" s="26"/>
    </row>
    <row r="995" spans="1:5" ht="16.5" x14ac:dyDescent="0.2">
      <c r="A995" s="22"/>
      <c r="B995" s="59" t="s">
        <v>226</v>
      </c>
      <c r="C995" s="60" t="str">
        <f>IFERROR(VLOOKUP(B995,'Rekap Stock Barang'!$A$7:$G$153,2,0),"")</f>
        <v>Mix Berries</v>
      </c>
      <c r="D995" s="59">
        <v>4</v>
      </c>
      <c r="E995" s="26"/>
    </row>
    <row r="996" spans="1:5" ht="16.5" x14ac:dyDescent="0.2">
      <c r="A996" s="22"/>
      <c r="B996" s="70" t="s">
        <v>202</v>
      </c>
      <c r="C996" s="60" t="str">
        <f>IFERROR(VLOOKUP(B996,'Rekap Stock Barang'!$A$7:$G$153,2,0),"")</f>
        <v xml:space="preserve">Zoda Water </v>
      </c>
      <c r="D996" s="70">
        <v>0</v>
      </c>
      <c r="E996" s="26"/>
    </row>
    <row r="997" spans="1:5" ht="17.25" thickBot="1" x14ac:dyDescent="0.25">
      <c r="A997" s="61"/>
      <c r="B997" s="62" t="s">
        <v>223</v>
      </c>
      <c r="C997" s="63" t="str">
        <f>IFERROR(VLOOKUP(B997,'Rekap Stock Barang'!$A$7:$G$153,2,0),"")</f>
        <v>Sirsak Juice</v>
      </c>
      <c r="D997" s="62">
        <v>5</v>
      </c>
      <c r="E997" s="26"/>
    </row>
    <row r="998" spans="1:5" ht="16.5" x14ac:dyDescent="0.2">
      <c r="A998" s="21">
        <v>46287</v>
      </c>
      <c r="B998" s="49" t="s">
        <v>254</v>
      </c>
      <c r="C998" s="40" t="str">
        <f>IFERROR(VLOOKUP(B998,'Rekap Stock Barang'!$A$7:$G$153,2,0),"")</f>
        <v>Kunci Mas</v>
      </c>
      <c r="D998" s="49">
        <v>1</v>
      </c>
      <c r="E998" s="26"/>
    </row>
    <row r="999" spans="1:5" ht="16.5" x14ac:dyDescent="0.2">
      <c r="A999" s="22"/>
      <c r="B999" s="49" t="s">
        <v>286</v>
      </c>
      <c r="C999" s="40" t="str">
        <f>IFERROR(VLOOKUP(B999,'Rekap Stock Barang'!$A$7:$G$153,2,0),"")</f>
        <v>Bumbu Segara</v>
      </c>
      <c r="D999" s="49">
        <v>1</v>
      </c>
      <c r="E999" s="26"/>
    </row>
    <row r="1000" spans="1:5" ht="16.5" x14ac:dyDescent="0.2">
      <c r="A1000" s="22"/>
      <c r="B1000" s="49" t="s">
        <v>204</v>
      </c>
      <c r="C1000" s="40" t="str">
        <f>IFERROR(VLOOKUP(B1000,'Rekap Stock Barang'!$A$7:$G$153,2,0),"")</f>
        <v xml:space="preserve">Gula </v>
      </c>
      <c r="D1000" s="49">
        <v>1</v>
      </c>
      <c r="E1000" s="26"/>
    </row>
    <row r="1001" spans="1:5" ht="16.5" x14ac:dyDescent="0.2">
      <c r="A1001" s="22"/>
      <c r="B1001" s="49" t="s">
        <v>273</v>
      </c>
      <c r="C1001" s="40" t="str">
        <f>IFERROR(VLOOKUP(B1001,'Rekap Stock Barang'!$A$7:$G$153,2,0),"")</f>
        <v>Sambal Bawang</v>
      </c>
      <c r="D1001" s="49">
        <v>1</v>
      </c>
      <c r="E1001" s="26"/>
    </row>
    <row r="1002" spans="1:5" ht="16.5" x14ac:dyDescent="0.2">
      <c r="A1002" s="22"/>
      <c r="B1002" s="49" t="s">
        <v>281</v>
      </c>
      <c r="C1002" s="40" t="str">
        <f>IFERROR(VLOOKUP(B1002,'Rekap Stock Barang'!$A$7:$G$153,2,0),"")</f>
        <v>Diamond Milk</v>
      </c>
      <c r="D1002" s="49">
        <v>1</v>
      </c>
      <c r="E1002" s="26"/>
    </row>
    <row r="1003" spans="1:5" ht="16.5" x14ac:dyDescent="0.2">
      <c r="A1003" s="22"/>
      <c r="B1003" s="49" t="s">
        <v>203</v>
      </c>
      <c r="C1003" s="40" t="str">
        <f>IFERROR(VLOOKUP(B1003,'Rekap Stock Barang'!$A$7:$G$153,2,0),"")</f>
        <v>Apple Juice Diamond</v>
      </c>
      <c r="D1003" s="49">
        <v>1</v>
      </c>
      <c r="E1003" s="26"/>
    </row>
    <row r="1004" spans="1:5" ht="16.5" x14ac:dyDescent="0.2">
      <c r="A1004" s="22"/>
      <c r="B1004" s="49" t="s">
        <v>200</v>
      </c>
      <c r="C1004" s="40" t="str">
        <f>IFERROR(VLOOKUP(B1004,'Rekap Stock Barang'!$A$7:$G$153,2,0),"")</f>
        <v>Ecolate Wintermelon Tea</v>
      </c>
      <c r="D1004" s="49">
        <v>1</v>
      </c>
      <c r="E1004" s="26"/>
    </row>
    <row r="1005" spans="1:5" ht="16.5" x14ac:dyDescent="0.2">
      <c r="A1005" s="22"/>
      <c r="B1005" s="49" t="s">
        <v>189</v>
      </c>
      <c r="C1005" s="40" t="str">
        <f>IFERROR(VLOOKUP(B1005,'Rekap Stock Barang'!$A$7:$G$153,2,0),"")</f>
        <v xml:space="preserve">Susu Evaporasi </v>
      </c>
      <c r="D1005" s="49">
        <v>1</v>
      </c>
      <c r="E1005" s="26"/>
    </row>
    <row r="1006" spans="1:5" ht="16.5" x14ac:dyDescent="0.2">
      <c r="A1006" s="22"/>
      <c r="B1006" s="49" t="s">
        <v>271</v>
      </c>
      <c r="C1006" s="40" t="str">
        <f>IFERROR(VLOOKUP(B1006,'Rekap Stock Barang'!$A$7:$G$153,2,0),"")</f>
        <v>Plastik Soup XS</v>
      </c>
      <c r="D1006" s="49">
        <v>1</v>
      </c>
      <c r="E1006" s="26"/>
    </row>
    <row r="1007" spans="1:5" ht="16.5" x14ac:dyDescent="0.2">
      <c r="A1007" s="22"/>
      <c r="B1007" s="49" t="s">
        <v>294</v>
      </c>
      <c r="C1007" s="40" t="str">
        <f>IFERROR(VLOOKUP(B1007,'Rekap Stock Barang'!$A$7:$G$153,2,0),"")</f>
        <v>Gorengan Mbakmoy</v>
      </c>
      <c r="D1007" s="49">
        <v>1</v>
      </c>
      <c r="E1007" s="26"/>
    </row>
    <row r="1008" spans="1:5" ht="16.5" x14ac:dyDescent="0.2">
      <c r="A1008" s="22"/>
      <c r="B1008" s="49" t="s">
        <v>160</v>
      </c>
      <c r="C1008" s="40" t="str">
        <f>IFERROR(VLOOKUP(B1008,'Rekap Stock Barang'!$A$7:$G$153,2,0),"")</f>
        <v>Take Away Box M</v>
      </c>
      <c r="D1008" s="49">
        <v>1</v>
      </c>
      <c r="E1008" s="26"/>
    </row>
    <row r="1009" spans="1:5" ht="16.5" x14ac:dyDescent="0.2">
      <c r="A1009" s="22"/>
      <c r="B1009" s="49" t="s">
        <v>298</v>
      </c>
      <c r="C1009" s="40" t="str">
        <f>IFERROR(VLOOKUP(B1009,'Rekap Stock Barang'!$A$7:$G$153,2,0),"")</f>
        <v>Take Away Bocx L</v>
      </c>
      <c r="D1009" s="49">
        <v>1</v>
      </c>
      <c r="E1009" s="26"/>
    </row>
    <row r="1010" spans="1:5" ht="16.5" x14ac:dyDescent="0.2">
      <c r="A1010" s="22"/>
      <c r="B1010" s="49" t="s">
        <v>272</v>
      </c>
      <c r="C1010" s="40" t="str">
        <f>IFERROR(VLOOKUP(B1010,'Rekap Stock Barang'!$A$7:$G$153,2,0),"")</f>
        <v>Tepung Telur</v>
      </c>
      <c r="D1010" s="49">
        <v>1</v>
      </c>
      <c r="E1010" s="26"/>
    </row>
    <row r="1011" spans="1:5" ht="16.5" x14ac:dyDescent="0.2">
      <c r="A1011" s="22"/>
      <c r="B1011" s="49" t="s">
        <v>282</v>
      </c>
      <c r="C1011" s="40" t="str">
        <f>IFERROR(VLOOKUP(B1011,'Rekap Stock Barang'!$A$7:$G$153,2,0),"")</f>
        <v>Bumbu Kwetiau</v>
      </c>
      <c r="D1011" s="49">
        <v>1</v>
      </c>
      <c r="E1011" s="26"/>
    </row>
    <row r="1012" spans="1:5" ht="16.5" x14ac:dyDescent="0.2">
      <c r="A1012" s="22"/>
      <c r="B1012" s="49" t="s">
        <v>270</v>
      </c>
      <c r="C1012" s="40" t="str">
        <f>IFERROR(VLOOKUP(B1012,'Rekap Stock Barang'!$A$7:$G$153,2,0),"")</f>
        <v>Tissue Toilet</v>
      </c>
      <c r="D1012" s="49">
        <v>2</v>
      </c>
      <c r="E1012" s="26"/>
    </row>
    <row r="1013" spans="1:5" ht="16.5" x14ac:dyDescent="0.2">
      <c r="A1013" s="22"/>
      <c r="B1013" s="49" t="s">
        <v>148</v>
      </c>
      <c r="C1013" s="40" t="str">
        <f>IFERROR(VLOOKUP(B1013,'Rekap Stock Barang'!$A$7:$G$153,2,0),"")</f>
        <v>Tissue Meja</v>
      </c>
      <c r="D1013" s="49">
        <v>1</v>
      </c>
      <c r="E1013" s="26"/>
    </row>
    <row r="1014" spans="1:5" ht="16.5" x14ac:dyDescent="0.2">
      <c r="A1014" s="22"/>
      <c r="B1014" s="49" t="s">
        <v>201</v>
      </c>
      <c r="C1014" s="40" t="str">
        <f>IFERROR(VLOOKUP(B1014,'Rekap Stock Barang'!$A$7:$G$153,2,0),"")</f>
        <v xml:space="preserve">Soda Polaris </v>
      </c>
      <c r="D1014" s="49">
        <v>1</v>
      </c>
      <c r="E1014" s="26"/>
    </row>
    <row r="1015" spans="1:5" ht="16.5" x14ac:dyDescent="0.2">
      <c r="A1015" s="22"/>
      <c r="B1015" s="49" t="s">
        <v>292</v>
      </c>
      <c r="C1015" s="40" t="str">
        <f>IFERROR(VLOOKUP(B1015,'Rekap Stock Barang'!$A$7:$G$153,2,0),"")</f>
        <v>Sambal Kuning</v>
      </c>
      <c r="D1015" s="49">
        <v>1</v>
      </c>
      <c r="E1015" s="26"/>
    </row>
    <row r="1016" spans="1:5" ht="16.5" x14ac:dyDescent="0.2">
      <c r="A1016" s="22"/>
      <c r="B1016" s="49" t="s">
        <v>283</v>
      </c>
      <c r="C1016" s="40" t="str">
        <f>IFERROR(VLOOKUP(B1016,'Rekap Stock Barang'!$A$7:$G$153,2,0),"")</f>
        <v>Sambal Petis</v>
      </c>
      <c r="D1016" s="49">
        <v>1</v>
      </c>
      <c r="E1016" s="26"/>
    </row>
    <row r="1017" spans="1:5" ht="16.5" x14ac:dyDescent="0.2">
      <c r="A1017" s="22"/>
      <c r="B1017" s="49" t="s">
        <v>164</v>
      </c>
      <c r="C1017" s="40" t="str">
        <f>IFERROR(VLOOKUP(B1017,'Rekap Stock Barang'!$A$7:$G$153,2,0),"")</f>
        <v xml:space="preserve">Ekonomi </v>
      </c>
      <c r="D1017" s="49">
        <v>4</v>
      </c>
      <c r="E1017" s="26"/>
    </row>
    <row r="1018" spans="1:5" ht="16.5" x14ac:dyDescent="0.2">
      <c r="A1018" s="22"/>
      <c r="B1018" s="49" t="s">
        <v>217</v>
      </c>
      <c r="C1018" s="40" t="str">
        <f>IFERROR(VLOOKUP(B1018,'Rekap Stock Barang'!$A$7:$G$153,2,0),"")</f>
        <v>Thermal Paper</v>
      </c>
      <c r="D1018" s="49">
        <v>1</v>
      </c>
      <c r="E1018" s="26"/>
    </row>
    <row r="1019" spans="1:5" ht="16.5" x14ac:dyDescent="0.2">
      <c r="A1019" s="22"/>
      <c r="B1019" s="49" t="s">
        <v>188</v>
      </c>
      <c r="C1019" s="40" t="str">
        <f>IFERROR(VLOOKUP(B1019,'Rekap Stock Barang'!$A$7:$G$153,2,0),"")</f>
        <v xml:space="preserve">Mie Urai </v>
      </c>
      <c r="D1019" s="49">
        <v>1</v>
      </c>
      <c r="E1019" s="26"/>
    </row>
    <row r="1020" spans="1:5" ht="16.5" x14ac:dyDescent="0.2">
      <c r="A1020" s="22"/>
      <c r="B1020" s="53" t="s">
        <v>130</v>
      </c>
      <c r="C1020" s="54" t="str">
        <f>IFERROR(VLOOKUP(B1020,'Rekap Stock Barang'!$A$7:$G$153,2,0),"")</f>
        <v>Plastik Sampah S</v>
      </c>
      <c r="D1020" s="53">
        <v>3</v>
      </c>
      <c r="E1020" s="26"/>
    </row>
    <row r="1021" spans="1:5" ht="16.5" x14ac:dyDescent="0.2">
      <c r="A1021" s="22"/>
      <c r="B1021" s="53" t="s">
        <v>131</v>
      </c>
      <c r="C1021" s="54" t="str">
        <f>IFERROR(VLOOKUP(B1021,'Rekap Stock Barang'!$A$7:$G$153,2,0),"")</f>
        <v>Plastik Sampah M</v>
      </c>
      <c r="D1021" s="53">
        <v>2</v>
      </c>
      <c r="E1021" s="26"/>
    </row>
    <row r="1022" spans="1:5" ht="16.5" x14ac:dyDescent="0.2">
      <c r="A1022" s="22"/>
      <c r="B1022" s="53" t="s">
        <v>132</v>
      </c>
      <c r="C1022" s="54" t="str">
        <f>IFERROR(VLOOKUP(B1022,'Rekap Stock Barang'!$A$7:$G$153,2,0),"")</f>
        <v>Plastik Sampah L</v>
      </c>
      <c r="D1022" s="53">
        <v>1</v>
      </c>
      <c r="E1022" s="26"/>
    </row>
    <row r="1023" spans="1:5" ht="16.5" x14ac:dyDescent="0.2">
      <c r="A1023" s="22"/>
      <c r="B1023" s="53" t="s">
        <v>274</v>
      </c>
      <c r="C1023" s="54" t="str">
        <f>IFERROR(VLOOKUP(B1023,'Rekap Stock Barang'!$A$7:$G$153,2,0),"")</f>
        <v>Plastik Sampah XL</v>
      </c>
      <c r="D1023" s="53">
        <v>1</v>
      </c>
      <c r="E1023" s="26"/>
    </row>
    <row r="1024" spans="1:5" ht="16.5" x14ac:dyDescent="0.2">
      <c r="A1024" s="22"/>
      <c r="B1024" s="55" t="s">
        <v>236</v>
      </c>
      <c r="C1024" s="56" t="str">
        <f>IFERROR(VLOOKUP(B1024,'Rekap Stock Barang'!$A$7:$G$153,2,0),"")</f>
        <v xml:space="preserve">Paha Gurih Manis </v>
      </c>
      <c r="D1024" s="55">
        <v>3</v>
      </c>
      <c r="E1024" s="26"/>
    </row>
    <row r="1025" spans="1:5" ht="16.5" x14ac:dyDescent="0.2">
      <c r="A1025" s="22"/>
      <c r="B1025" s="55" t="s">
        <v>241</v>
      </c>
      <c r="C1025" s="56" t="str">
        <f>IFERROR(VLOOKUP(B1025,'Rekap Stock Barang'!$A$7:$G$153,2,0),"")</f>
        <v>Dada Gurih Manis</v>
      </c>
      <c r="D1025" s="55">
        <v>3</v>
      </c>
      <c r="E1025" s="26"/>
    </row>
    <row r="1026" spans="1:5" ht="16.5" x14ac:dyDescent="0.2">
      <c r="A1026" s="22"/>
      <c r="B1026" s="55" t="s">
        <v>16</v>
      </c>
      <c r="C1026" s="56" t="str">
        <f>IFERROR(VLOOKUP(B1026,'Rekap Stock Barang'!$A$7:$G$153,2,0),"")</f>
        <v>Paha</v>
      </c>
      <c r="D1026" s="55">
        <v>12</v>
      </c>
      <c r="E1026" s="26"/>
    </row>
    <row r="1027" spans="1:5" ht="16.5" x14ac:dyDescent="0.2">
      <c r="A1027" s="22"/>
      <c r="B1027" s="55" t="s">
        <v>19</v>
      </c>
      <c r="C1027" s="56" t="str">
        <f>IFERROR(VLOOKUP(B1027,'Rekap Stock Barang'!$A$7:$G$153,2,0),"")</f>
        <v>Dada</v>
      </c>
      <c r="D1027" s="55">
        <v>8</v>
      </c>
      <c r="E1027" s="26"/>
    </row>
    <row r="1028" spans="1:5" ht="16.5" x14ac:dyDescent="0.2">
      <c r="A1028" s="22"/>
      <c r="B1028" s="55" t="s">
        <v>8</v>
      </c>
      <c r="C1028" s="56" t="str">
        <f>IFERROR(VLOOKUP(B1028,'Rekap Stock Barang'!$A$7:$G$153,2,0),"")</f>
        <v xml:space="preserve">Ayam Suwir </v>
      </c>
      <c r="D1028" s="55">
        <v>14</v>
      </c>
      <c r="E1028" s="26"/>
    </row>
    <row r="1029" spans="1:5" ht="16.5" x14ac:dyDescent="0.2">
      <c r="A1029" s="22"/>
      <c r="B1029" s="55" t="s">
        <v>9</v>
      </c>
      <c r="C1029" s="56" t="str">
        <f>IFERROR(VLOOKUP(B1029,'Rekap Stock Barang'!$A$7:$G$153,2,0),"")</f>
        <v xml:space="preserve">Topping Kwetiau </v>
      </c>
      <c r="D1029" s="55">
        <v>8</v>
      </c>
      <c r="E1029" s="26"/>
    </row>
    <row r="1030" spans="1:5" ht="16.5" x14ac:dyDescent="0.2">
      <c r="A1030" s="22"/>
      <c r="B1030" s="55" t="s">
        <v>243</v>
      </c>
      <c r="C1030" s="56" t="str">
        <f>IFERROR(VLOOKUP(B1030,'Rekap Stock Barang'!$A$7:$G$153,2,0),"")</f>
        <v xml:space="preserve">Daging Slice </v>
      </c>
      <c r="D1030" s="55">
        <v>5</v>
      </c>
      <c r="E1030" s="26"/>
    </row>
    <row r="1031" spans="1:5" ht="16.5" x14ac:dyDescent="0.2">
      <c r="A1031" s="22"/>
      <c r="B1031" s="55" t="s">
        <v>14</v>
      </c>
      <c r="C1031" s="56" t="str">
        <f>IFERROR(VLOOKUP(B1031,'Rekap Stock Barang'!$A$7:$G$153,2,0),"")</f>
        <v>Ayam Jamur</v>
      </c>
      <c r="D1031" s="55">
        <v>7</v>
      </c>
      <c r="E1031" s="26"/>
    </row>
    <row r="1032" spans="1:5" ht="16.5" x14ac:dyDescent="0.2">
      <c r="A1032" s="22"/>
      <c r="B1032" s="55" t="s">
        <v>20</v>
      </c>
      <c r="C1032" s="56" t="str">
        <f>IFERROR(VLOOKUP(B1032,'Rekap Stock Barang'!$A$7:$G$153,2,0),"")</f>
        <v>Cumi</v>
      </c>
      <c r="D1032" s="55">
        <v>14</v>
      </c>
      <c r="E1032" s="26"/>
    </row>
    <row r="1033" spans="1:5" ht="16.5" x14ac:dyDescent="0.2">
      <c r="A1033" s="22"/>
      <c r="B1033" s="55" t="s">
        <v>38</v>
      </c>
      <c r="C1033" s="56" t="str">
        <f>IFERROR(VLOOKUP(B1033,'Rekap Stock Barang'!$A$7:$G$153,2,0),"")</f>
        <v>Daging Sambal HIjau</v>
      </c>
      <c r="D1033" s="55">
        <v>3</v>
      </c>
      <c r="E1033" s="26"/>
    </row>
    <row r="1034" spans="1:5" ht="16.5" x14ac:dyDescent="0.2">
      <c r="A1034" s="22"/>
      <c r="B1034" s="55" t="s">
        <v>22</v>
      </c>
      <c r="C1034" s="56" t="str">
        <f>IFERROR(VLOOKUP(B1034,'Rekap Stock Barang'!$A$7:$G$153,2,0),"")</f>
        <v>Kulit</v>
      </c>
      <c r="D1034" s="55">
        <v>2</v>
      </c>
      <c r="E1034" s="26"/>
    </row>
    <row r="1035" spans="1:5" ht="16.5" x14ac:dyDescent="0.2">
      <c r="A1035" s="22"/>
      <c r="B1035" s="55" t="s">
        <v>28</v>
      </c>
      <c r="C1035" s="56" t="str">
        <f>IFERROR(VLOOKUP(B1035,'Rekap Stock Barang'!$A$7:$G$153,2,0),"")</f>
        <v xml:space="preserve">Topping Nasi Gila </v>
      </c>
      <c r="D1035" s="55">
        <v>5</v>
      </c>
      <c r="E1035" s="26"/>
    </row>
    <row r="1036" spans="1:5" ht="16.5" x14ac:dyDescent="0.2">
      <c r="A1036" s="22"/>
      <c r="B1036" s="55" t="s">
        <v>24</v>
      </c>
      <c r="C1036" s="56" t="str">
        <f>IFERROR(VLOOKUP(B1036,'Rekap Stock Barang'!$A$7:$G$153,2,0),"")</f>
        <v xml:space="preserve">Lidah </v>
      </c>
      <c r="D1036" s="55">
        <v>4</v>
      </c>
      <c r="E1036" s="26"/>
    </row>
    <row r="1037" spans="1:5" ht="16.5" x14ac:dyDescent="0.2">
      <c r="A1037" s="22"/>
      <c r="B1037" s="55" t="s">
        <v>288</v>
      </c>
      <c r="C1037" s="56" t="str">
        <f>IFERROR(VLOOKUP(B1037,'Rekap Stock Barang'!$A$7:$G$153,2,0),"")</f>
        <v>Pete</v>
      </c>
      <c r="D1037" s="55">
        <v>1</v>
      </c>
      <c r="E1037" s="26"/>
    </row>
    <row r="1038" spans="1:5" ht="16.5" x14ac:dyDescent="0.2">
      <c r="A1038" s="22"/>
      <c r="B1038" s="55" t="s">
        <v>275</v>
      </c>
      <c r="C1038" s="56" t="str">
        <f>IFERROR(VLOOKUP(B1038,'Rekap Stock Barang'!$A$7:$G$153,2,0),"")</f>
        <v xml:space="preserve">Teri Pete </v>
      </c>
      <c r="D1038" s="55">
        <v>4</v>
      </c>
      <c r="E1038" s="26"/>
    </row>
    <row r="1039" spans="1:5" ht="16.5" x14ac:dyDescent="0.2">
      <c r="A1039" s="22"/>
      <c r="B1039" s="55" t="s">
        <v>279</v>
      </c>
      <c r="C1039" s="56" t="str">
        <f>IFERROR(VLOOKUP(B1039,'Rekap Stock Barang'!$A$7:$G$153,2,0),"")</f>
        <v>Lidah Goreng Segara</v>
      </c>
      <c r="D1039" s="55">
        <v>9</v>
      </c>
      <c r="E1039" s="26"/>
    </row>
    <row r="1040" spans="1:5" ht="16.5" x14ac:dyDescent="0.2">
      <c r="A1040" s="22"/>
      <c r="B1040" s="55" t="s">
        <v>10</v>
      </c>
      <c r="C1040" s="56" t="str">
        <f>IFERROR(VLOOKUP(B1040,'Rekap Stock Barang'!$A$7:$G$153,2,0),"")</f>
        <v>Topping Mbakmoy</v>
      </c>
      <c r="D1040" s="55">
        <v>5</v>
      </c>
      <c r="E1040" s="26"/>
    </row>
    <row r="1041" spans="1:5" ht="16.5" x14ac:dyDescent="0.2">
      <c r="A1041" s="22"/>
      <c r="B1041" s="55" t="s">
        <v>276</v>
      </c>
      <c r="C1041" s="56" t="str">
        <f>IFERROR(VLOOKUP(B1041,'Rekap Stock Barang'!$A$7:$G$153,2,0),"")</f>
        <v>Sambal Baby Cumi</v>
      </c>
      <c r="D1041" s="55">
        <v>15</v>
      </c>
      <c r="E1041" s="26"/>
    </row>
    <row r="1042" spans="1:5" ht="16.5" x14ac:dyDescent="0.2">
      <c r="A1042" s="22"/>
      <c r="B1042" s="57" t="s">
        <v>31</v>
      </c>
      <c r="C1042" s="58" t="str">
        <f>IFERROR(VLOOKUP(B1042,'Rekap Stock Barang'!$A$7:$G$153,2,0),"")</f>
        <v>Bagor</v>
      </c>
      <c r="D1042" s="57">
        <v>18</v>
      </c>
      <c r="E1042" s="26"/>
    </row>
    <row r="1043" spans="1:5" ht="16.5" x14ac:dyDescent="0.2">
      <c r="A1043" s="22"/>
      <c r="B1043" s="57" t="s">
        <v>178</v>
      </c>
      <c r="C1043" s="58" t="str">
        <f>IFERROR(VLOOKUP(B1043,'Rekap Stock Barang'!$A$7:$G$153,2,0),"")</f>
        <v xml:space="preserve">Cireng </v>
      </c>
      <c r="D1043" s="57">
        <v>1</v>
      </c>
      <c r="E1043" s="26"/>
    </row>
    <row r="1044" spans="1:5" ht="16.5" x14ac:dyDescent="0.2">
      <c r="A1044" s="22"/>
      <c r="B1044" s="57" t="s">
        <v>238</v>
      </c>
      <c r="C1044" s="58" t="str">
        <f>IFERROR(VLOOKUP(B1044,'Rekap Stock Barang'!$A$7:$G$153,2,0),"")</f>
        <v>Sayap Goreng</v>
      </c>
      <c r="D1044" s="57">
        <v>2</v>
      </c>
      <c r="E1044" s="26"/>
    </row>
    <row r="1045" spans="1:5" ht="16.5" x14ac:dyDescent="0.2">
      <c r="A1045" s="22"/>
      <c r="B1045" s="59" t="s">
        <v>175</v>
      </c>
      <c r="C1045" s="60" t="str">
        <f>IFERROR(VLOOKUP(B1045,'Rekap Stock Barang'!$A$7:$G$153,2,0),"")</f>
        <v>Mineral</v>
      </c>
      <c r="D1045" s="59">
        <v>46</v>
      </c>
      <c r="E1045" s="26"/>
    </row>
    <row r="1046" spans="1:5" ht="16.5" x14ac:dyDescent="0.2">
      <c r="A1046" s="22"/>
      <c r="B1046" s="59" t="s">
        <v>170</v>
      </c>
      <c r="C1046" s="60" t="str">
        <f>IFERROR(VLOOKUP(B1046,'Rekap Stock Barang'!$A$7:$G$153,2,0),"")</f>
        <v>Air Tahu</v>
      </c>
      <c r="D1046" s="59">
        <v>0</v>
      </c>
      <c r="E1046" s="26"/>
    </row>
    <row r="1047" spans="1:5" ht="16.5" x14ac:dyDescent="0.2">
      <c r="A1047" s="22"/>
      <c r="B1047" s="59" t="s">
        <v>229</v>
      </c>
      <c r="C1047" s="60" t="str">
        <f>IFERROR(VLOOKUP(B1047,'Rekap Stock Barang'!$A$7:$G$153,2,0),"")</f>
        <v xml:space="preserve">Manggo Juice </v>
      </c>
      <c r="D1047" s="59">
        <v>2</v>
      </c>
      <c r="E1047" s="26"/>
    </row>
    <row r="1048" spans="1:5" ht="16.5" x14ac:dyDescent="0.2">
      <c r="A1048" s="22"/>
      <c r="B1048" s="59" t="s">
        <v>226</v>
      </c>
      <c r="C1048" s="60" t="str">
        <f>IFERROR(VLOOKUP(B1048,'Rekap Stock Barang'!$A$7:$G$153,2,0),"")</f>
        <v>Mix Berries</v>
      </c>
      <c r="D1048" s="59">
        <v>2</v>
      </c>
      <c r="E1048" s="26"/>
    </row>
    <row r="1049" spans="1:5" ht="16.5" x14ac:dyDescent="0.2">
      <c r="A1049" s="22"/>
      <c r="B1049" s="70" t="s">
        <v>202</v>
      </c>
      <c r="C1049" s="60" t="str">
        <f>IFERROR(VLOOKUP(B1049,'Rekap Stock Barang'!$A$7:$G$153,2,0),"")</f>
        <v xml:space="preserve">Zoda Water </v>
      </c>
      <c r="D1049" s="70">
        <v>0</v>
      </c>
      <c r="E1049" s="26"/>
    </row>
    <row r="1050" spans="1:5" ht="17.25" thickBot="1" x14ac:dyDescent="0.25">
      <c r="A1050" s="61"/>
      <c r="B1050" s="62" t="s">
        <v>223</v>
      </c>
      <c r="C1050" s="63" t="str">
        <f>IFERROR(VLOOKUP(B1050,'Rekap Stock Barang'!$A$7:$G$153,2,0),"")</f>
        <v>Sirsak Juice</v>
      </c>
      <c r="D1050" s="62">
        <v>1</v>
      </c>
      <c r="E1050" s="26"/>
    </row>
    <row r="1051" spans="1:5" ht="16.5" x14ac:dyDescent="0.2">
      <c r="A1051" s="21">
        <v>46288</v>
      </c>
      <c r="B1051" s="49" t="s">
        <v>211</v>
      </c>
      <c r="C1051" s="40" t="str">
        <f>IFERROR(VLOOKUP(B1051,'Rekap Stock Barang'!$A$7:$G$153,2,0),"")</f>
        <v xml:space="preserve">Pewarna Hijau </v>
      </c>
      <c r="D1051" s="49">
        <v>1</v>
      </c>
      <c r="E1051" s="26"/>
    </row>
    <row r="1052" spans="1:5" ht="16.5" x14ac:dyDescent="0.2">
      <c r="A1052" s="22"/>
      <c r="B1052" s="49" t="s">
        <v>273</v>
      </c>
      <c r="C1052" s="40" t="str">
        <f>IFERROR(VLOOKUP(B1052,'Rekap Stock Barang'!$A$7:$G$153,2,0),"")</f>
        <v>Sambal Bawang</v>
      </c>
      <c r="D1052" s="49">
        <v>1</v>
      </c>
      <c r="E1052" s="26"/>
    </row>
    <row r="1053" spans="1:5" ht="16.5" x14ac:dyDescent="0.2">
      <c r="A1053" s="22"/>
      <c r="B1053" s="49" t="s">
        <v>164</v>
      </c>
      <c r="C1053" s="40" t="str">
        <f>IFERROR(VLOOKUP(B1053,'Rekap Stock Barang'!$A$7:$G$153,2,0),"")</f>
        <v xml:space="preserve">Ekonomi </v>
      </c>
      <c r="D1053" s="49">
        <v>3</v>
      </c>
      <c r="E1053" s="26"/>
    </row>
    <row r="1054" spans="1:5" ht="16.5" x14ac:dyDescent="0.2">
      <c r="A1054" s="22"/>
      <c r="B1054" s="49" t="s">
        <v>201</v>
      </c>
      <c r="C1054" s="40" t="str">
        <f>IFERROR(VLOOKUP(B1054,'Rekap Stock Barang'!$A$7:$G$153,2,0),"")</f>
        <v xml:space="preserve">Soda Polaris </v>
      </c>
      <c r="D1054" s="49">
        <v>2</v>
      </c>
      <c r="E1054" s="26"/>
    </row>
    <row r="1055" spans="1:5" ht="16.5" x14ac:dyDescent="0.2">
      <c r="A1055" s="22"/>
      <c r="B1055" s="49" t="s">
        <v>313</v>
      </c>
      <c r="C1055" s="40" t="str">
        <f>IFERROR(VLOOKUP(B1055,'Rekap Stock Barang'!$A$7:$G$153,2,0),"")</f>
        <v>Bumbu Mie Goreng Jawa</v>
      </c>
      <c r="D1055" s="49">
        <v>1</v>
      </c>
      <c r="E1055" s="26"/>
    </row>
    <row r="1056" spans="1:5" ht="16.5" x14ac:dyDescent="0.2">
      <c r="A1056" s="22"/>
      <c r="B1056" s="49" t="s">
        <v>188</v>
      </c>
      <c r="C1056" s="40" t="str">
        <f>IFERROR(VLOOKUP(B1056,'Rekap Stock Barang'!$A$7:$G$153,2,0),"")</f>
        <v xml:space="preserve">Mie Urai </v>
      </c>
      <c r="D1056" s="49">
        <v>2</v>
      </c>
      <c r="E1056" s="26"/>
    </row>
    <row r="1057" spans="1:5" ht="16.5" x14ac:dyDescent="0.2">
      <c r="A1057" s="22"/>
      <c r="B1057" s="49" t="s">
        <v>272</v>
      </c>
      <c r="C1057" s="40" t="str">
        <f>IFERROR(VLOOKUP(B1057,'Rekap Stock Barang'!$A$7:$G$153,2,0),"")</f>
        <v>Tepung Telur</v>
      </c>
      <c r="D1057" s="49">
        <v>2</v>
      </c>
      <c r="E1057" s="26"/>
    </row>
    <row r="1058" spans="1:5" ht="16.5" x14ac:dyDescent="0.2">
      <c r="A1058" s="22"/>
      <c r="B1058" s="49" t="s">
        <v>293</v>
      </c>
      <c r="C1058" s="40" t="str">
        <f>IFERROR(VLOOKUP(B1058,'Rekap Stock Barang'!$A$7:$G$153,2,0),"")</f>
        <v>Susu Kental Manis Carnation</v>
      </c>
      <c r="D1058" s="49">
        <v>1</v>
      </c>
      <c r="E1058" s="26"/>
    </row>
    <row r="1059" spans="1:5" ht="16.5" x14ac:dyDescent="0.2">
      <c r="A1059" s="22"/>
      <c r="B1059" s="49" t="s">
        <v>281</v>
      </c>
      <c r="C1059" s="40" t="str">
        <f>IFERROR(VLOOKUP(B1059,'Rekap Stock Barang'!$A$7:$G$153,2,0),"")</f>
        <v>Diamond Milk</v>
      </c>
      <c r="D1059" s="49">
        <v>1</v>
      </c>
      <c r="E1059" s="26"/>
    </row>
    <row r="1060" spans="1:5" ht="16.5" x14ac:dyDescent="0.2">
      <c r="A1060" s="22"/>
      <c r="B1060" s="49" t="s">
        <v>192</v>
      </c>
      <c r="C1060" s="40" t="str">
        <f>IFERROR(VLOOKUP(B1060,'Rekap Stock Barang'!$A$7:$G$153,2,0),"")</f>
        <v xml:space="preserve">Max Creamer </v>
      </c>
      <c r="D1060" s="49">
        <v>1</v>
      </c>
      <c r="E1060" s="26"/>
    </row>
    <row r="1061" spans="1:5" ht="16.5" x14ac:dyDescent="0.2">
      <c r="A1061" s="22"/>
      <c r="B1061" s="49" t="s">
        <v>228</v>
      </c>
      <c r="C1061" s="40" t="str">
        <f>IFERROR(VLOOKUP(B1061,'Rekap Stock Barang'!$A$7:$G$153,2,0),"")</f>
        <v xml:space="preserve">Sedotan </v>
      </c>
      <c r="D1061" s="49">
        <v>1</v>
      </c>
      <c r="E1061" s="26"/>
    </row>
    <row r="1062" spans="1:5" ht="16.5" x14ac:dyDescent="0.2">
      <c r="A1062" s="22"/>
      <c r="B1062" s="49" t="s">
        <v>190</v>
      </c>
      <c r="C1062" s="40" t="str">
        <f>IFERROR(VLOOKUP(B1062,'Rekap Stock Barang'!$A$7:$G$153,2,0),"")</f>
        <v>Sun Cara 200Ml</v>
      </c>
      <c r="D1062" s="49">
        <v>1</v>
      </c>
      <c r="E1062" s="26"/>
    </row>
    <row r="1063" spans="1:5" ht="16.5" x14ac:dyDescent="0.2">
      <c r="A1063" s="22"/>
      <c r="B1063" s="49" t="s">
        <v>70</v>
      </c>
      <c r="C1063" s="40" t="str">
        <f>IFERROR(VLOOKUP(B1063,'Rekap Stock Barang'!$A$7:$G$153,2,0),"")</f>
        <v>Susu Kental Manis Carnation</v>
      </c>
      <c r="D1063" s="49">
        <v>1</v>
      </c>
      <c r="E1063" s="26"/>
    </row>
    <row r="1064" spans="1:5" ht="16.5" x14ac:dyDescent="0.2">
      <c r="A1064" s="22"/>
      <c r="B1064" s="49" t="s">
        <v>73</v>
      </c>
      <c r="C1064" s="40" t="str">
        <f>IFERROR(VLOOKUP(B1064,'Rekap Stock Barang'!$A$7:$G$153,2,0),"")</f>
        <v>Milo</v>
      </c>
      <c r="D1064" s="49">
        <v>1</v>
      </c>
      <c r="E1064" s="26"/>
    </row>
    <row r="1065" spans="1:5" ht="16.5" x14ac:dyDescent="0.2">
      <c r="A1065" s="22" t="s">
        <v>331</v>
      </c>
      <c r="B1065" s="49" t="s">
        <v>234</v>
      </c>
      <c r="C1065" s="40" t="str">
        <f>IFERROR(VLOOKUP(B1065,'Rekap Stock Barang'!$A$7:$G$153,2,0),"")</f>
        <v>Roti Bakar</v>
      </c>
      <c r="D1065" s="49">
        <v>2</v>
      </c>
      <c r="E1065" s="26"/>
    </row>
    <row r="1066" spans="1:5" ht="16.5" x14ac:dyDescent="0.2">
      <c r="A1066" s="22"/>
      <c r="B1066" s="53" t="s">
        <v>130</v>
      </c>
      <c r="C1066" s="54" t="str">
        <f>IFERROR(VLOOKUP(B1066,'Rekap Stock Barang'!$A$7:$G$153,2,0),"")</f>
        <v>Plastik Sampah S</v>
      </c>
      <c r="D1066" s="53">
        <v>3</v>
      </c>
      <c r="E1066" s="26"/>
    </row>
    <row r="1067" spans="1:5" ht="16.5" x14ac:dyDescent="0.2">
      <c r="A1067" s="22"/>
      <c r="B1067" s="53" t="s">
        <v>131</v>
      </c>
      <c r="C1067" s="54" t="str">
        <f>IFERROR(VLOOKUP(B1067,'Rekap Stock Barang'!$A$7:$G$153,2,0),"")</f>
        <v>Plastik Sampah M</v>
      </c>
      <c r="D1067" s="53">
        <v>2</v>
      </c>
      <c r="E1067" s="26"/>
    </row>
    <row r="1068" spans="1:5" ht="16.5" x14ac:dyDescent="0.2">
      <c r="A1068" s="22"/>
      <c r="B1068" s="53" t="s">
        <v>132</v>
      </c>
      <c r="C1068" s="54" t="str">
        <f>IFERROR(VLOOKUP(B1068,'Rekap Stock Barang'!$A$7:$G$153,2,0),"")</f>
        <v>Plastik Sampah L</v>
      </c>
      <c r="D1068" s="53">
        <v>2</v>
      </c>
      <c r="E1068" s="26"/>
    </row>
    <row r="1069" spans="1:5" ht="16.5" x14ac:dyDescent="0.2">
      <c r="A1069" s="22"/>
      <c r="B1069" s="53" t="s">
        <v>274</v>
      </c>
      <c r="C1069" s="54" t="str">
        <f>IFERROR(VLOOKUP(B1069,'Rekap Stock Barang'!$A$7:$G$153,2,0),"")</f>
        <v>Plastik Sampah XL</v>
      </c>
      <c r="D1069" s="53">
        <v>0</v>
      </c>
      <c r="E1069" s="26"/>
    </row>
    <row r="1070" spans="1:5" ht="16.5" x14ac:dyDescent="0.2">
      <c r="A1070" s="28" t="s">
        <v>330</v>
      </c>
      <c r="B1070" s="31" t="s">
        <v>241</v>
      </c>
      <c r="C1070" s="82" t="str">
        <f>IFERROR(VLOOKUP(B1070,'Rekap Stock Barang'!$A$7:$G$153,2,0),"")</f>
        <v>Dada Gurih Manis</v>
      </c>
      <c r="D1070" s="31">
        <v>1</v>
      </c>
      <c r="E1070" s="26"/>
    </row>
    <row r="1071" spans="1:5" ht="16.5" x14ac:dyDescent="0.2">
      <c r="A1071" s="22"/>
      <c r="B1071" s="55" t="s">
        <v>236</v>
      </c>
      <c r="C1071" s="56" t="str">
        <f>IFERROR(VLOOKUP(B1071,'Rekap Stock Barang'!$A$7:$G$153,2,0),"")</f>
        <v xml:space="preserve">Paha Gurih Manis </v>
      </c>
      <c r="D1071" s="55">
        <v>1</v>
      </c>
      <c r="E1071" s="26"/>
    </row>
    <row r="1072" spans="1:5" ht="16.5" x14ac:dyDescent="0.2">
      <c r="A1072" s="22"/>
      <c r="B1072" s="55" t="s">
        <v>241</v>
      </c>
      <c r="C1072" s="56" t="str">
        <f>IFERROR(VLOOKUP(B1072,'Rekap Stock Barang'!$A$7:$G$153,2,0),"")</f>
        <v>Dada Gurih Manis</v>
      </c>
      <c r="D1072" s="55">
        <v>0</v>
      </c>
      <c r="E1072" s="26"/>
    </row>
    <row r="1073" spans="1:5" ht="16.5" x14ac:dyDescent="0.2">
      <c r="A1073" s="22"/>
      <c r="B1073" s="55" t="s">
        <v>16</v>
      </c>
      <c r="C1073" s="56" t="str">
        <f>IFERROR(VLOOKUP(B1073,'Rekap Stock Barang'!$A$7:$G$153,2,0),"")</f>
        <v>Paha</v>
      </c>
      <c r="D1073" s="55">
        <v>13</v>
      </c>
      <c r="E1073" s="26"/>
    </row>
    <row r="1074" spans="1:5" ht="16.5" x14ac:dyDescent="0.2">
      <c r="A1074" s="22"/>
      <c r="B1074" s="55" t="s">
        <v>19</v>
      </c>
      <c r="C1074" s="56" t="str">
        <f>IFERROR(VLOOKUP(B1074,'Rekap Stock Barang'!$A$7:$G$153,2,0),"")</f>
        <v>Dada</v>
      </c>
      <c r="D1074" s="55">
        <v>9</v>
      </c>
      <c r="E1074" s="26"/>
    </row>
    <row r="1075" spans="1:5" ht="16.5" x14ac:dyDescent="0.2">
      <c r="A1075" s="22"/>
      <c r="B1075" s="55" t="s">
        <v>8</v>
      </c>
      <c r="C1075" s="56" t="str">
        <f>IFERROR(VLOOKUP(B1075,'Rekap Stock Barang'!$A$7:$G$153,2,0),"")</f>
        <v xml:space="preserve">Ayam Suwir </v>
      </c>
      <c r="D1075" s="55">
        <v>8</v>
      </c>
      <c r="E1075" s="26"/>
    </row>
    <row r="1076" spans="1:5" ht="16.5" x14ac:dyDescent="0.2">
      <c r="A1076" s="22"/>
      <c r="B1076" s="55" t="s">
        <v>9</v>
      </c>
      <c r="C1076" s="56" t="str">
        <f>IFERROR(VLOOKUP(B1076,'Rekap Stock Barang'!$A$7:$G$153,2,0),"")</f>
        <v xml:space="preserve">Topping Kwetiau </v>
      </c>
      <c r="D1076" s="55">
        <v>6</v>
      </c>
      <c r="E1076" s="26"/>
    </row>
    <row r="1077" spans="1:5" ht="16.5" x14ac:dyDescent="0.2">
      <c r="A1077" s="22"/>
      <c r="B1077" s="55" t="s">
        <v>243</v>
      </c>
      <c r="C1077" s="56" t="str">
        <f>IFERROR(VLOOKUP(B1077,'Rekap Stock Barang'!$A$7:$G$153,2,0),"")</f>
        <v xml:space="preserve">Daging Slice </v>
      </c>
      <c r="D1077" s="55">
        <v>2</v>
      </c>
      <c r="E1077" s="26"/>
    </row>
    <row r="1078" spans="1:5" ht="16.5" x14ac:dyDescent="0.2">
      <c r="A1078" s="22"/>
      <c r="B1078" s="55" t="s">
        <v>14</v>
      </c>
      <c r="C1078" s="56" t="str">
        <f>IFERROR(VLOOKUP(B1078,'Rekap Stock Barang'!$A$7:$G$153,2,0),"")</f>
        <v>Ayam Jamur</v>
      </c>
      <c r="D1078" s="55">
        <v>5</v>
      </c>
      <c r="E1078" s="26"/>
    </row>
    <row r="1079" spans="1:5" ht="16.5" x14ac:dyDescent="0.2">
      <c r="A1079" s="22"/>
      <c r="B1079" s="55" t="s">
        <v>20</v>
      </c>
      <c r="C1079" s="56" t="str">
        <f>IFERROR(VLOOKUP(B1079,'Rekap Stock Barang'!$A$7:$G$153,2,0),"")</f>
        <v>Cumi</v>
      </c>
      <c r="D1079" s="55">
        <v>10</v>
      </c>
      <c r="E1079" s="26"/>
    </row>
    <row r="1080" spans="1:5" ht="16.5" x14ac:dyDescent="0.2">
      <c r="A1080" s="22"/>
      <c r="B1080" s="55" t="s">
        <v>38</v>
      </c>
      <c r="C1080" s="56" t="str">
        <f>IFERROR(VLOOKUP(B1080,'Rekap Stock Barang'!$A$7:$G$153,2,0),"")</f>
        <v>Daging Sambal HIjau</v>
      </c>
      <c r="D1080" s="55">
        <v>5</v>
      </c>
      <c r="E1080" s="26"/>
    </row>
    <row r="1081" spans="1:5" ht="16.5" x14ac:dyDescent="0.2">
      <c r="A1081" s="22"/>
      <c r="B1081" s="55" t="s">
        <v>22</v>
      </c>
      <c r="C1081" s="56" t="str">
        <f>IFERROR(VLOOKUP(B1081,'Rekap Stock Barang'!$A$7:$G$153,2,0),"")</f>
        <v>Kulit</v>
      </c>
      <c r="D1081" s="55">
        <v>7</v>
      </c>
      <c r="E1081" s="26"/>
    </row>
    <row r="1082" spans="1:5" ht="16.5" x14ac:dyDescent="0.2">
      <c r="A1082" s="22"/>
      <c r="B1082" s="55" t="s">
        <v>28</v>
      </c>
      <c r="C1082" s="56" t="str">
        <f>IFERROR(VLOOKUP(B1082,'Rekap Stock Barang'!$A$7:$G$153,2,0),"")</f>
        <v xml:space="preserve">Topping Nasi Gila </v>
      </c>
      <c r="D1082" s="55">
        <v>0</v>
      </c>
      <c r="E1082" s="26"/>
    </row>
    <row r="1083" spans="1:5" ht="16.5" x14ac:dyDescent="0.2">
      <c r="A1083" s="22"/>
      <c r="B1083" s="55" t="s">
        <v>24</v>
      </c>
      <c r="C1083" s="56" t="str">
        <f>IFERROR(VLOOKUP(B1083,'Rekap Stock Barang'!$A$7:$G$153,2,0),"")</f>
        <v xml:space="preserve">Lidah </v>
      </c>
      <c r="D1083" s="55">
        <v>5</v>
      </c>
      <c r="E1083" s="26"/>
    </row>
    <row r="1084" spans="1:5" ht="16.5" x14ac:dyDescent="0.2">
      <c r="A1084" s="22"/>
      <c r="B1084" s="55" t="s">
        <v>288</v>
      </c>
      <c r="C1084" s="56" t="str">
        <f>IFERROR(VLOOKUP(B1084,'Rekap Stock Barang'!$A$7:$G$153,2,0),"")</f>
        <v>Pete</v>
      </c>
      <c r="D1084" s="55">
        <v>0</v>
      </c>
      <c r="E1084" s="26"/>
    </row>
    <row r="1085" spans="1:5" ht="16.5" x14ac:dyDescent="0.2">
      <c r="A1085" s="22"/>
      <c r="B1085" s="55" t="s">
        <v>275</v>
      </c>
      <c r="C1085" s="56" t="str">
        <f>IFERROR(VLOOKUP(B1085,'Rekap Stock Barang'!$A$7:$G$153,2,0),"")</f>
        <v xml:space="preserve">Teri Pete </v>
      </c>
      <c r="D1085" s="55">
        <v>2</v>
      </c>
      <c r="E1085" s="26"/>
    </row>
    <row r="1086" spans="1:5" ht="16.5" x14ac:dyDescent="0.2">
      <c r="A1086" s="22"/>
      <c r="B1086" s="55" t="s">
        <v>279</v>
      </c>
      <c r="C1086" s="56" t="str">
        <f>IFERROR(VLOOKUP(B1086,'Rekap Stock Barang'!$A$7:$G$153,2,0),"")</f>
        <v>Lidah Goreng Segara</v>
      </c>
      <c r="D1086" s="55">
        <v>6</v>
      </c>
      <c r="E1086" s="26"/>
    </row>
    <row r="1087" spans="1:5" ht="16.5" x14ac:dyDescent="0.2">
      <c r="A1087" s="22"/>
      <c r="B1087" s="55" t="s">
        <v>10</v>
      </c>
      <c r="C1087" s="56" t="str">
        <f>IFERROR(VLOOKUP(B1087,'Rekap Stock Barang'!$A$7:$G$153,2,0),"")</f>
        <v>Topping Mbakmoy</v>
      </c>
      <c r="D1087" s="55">
        <v>1</v>
      </c>
      <c r="E1087" s="26"/>
    </row>
    <row r="1088" spans="1:5" ht="16.5" x14ac:dyDescent="0.2">
      <c r="A1088" s="22"/>
      <c r="B1088" s="55" t="s">
        <v>276</v>
      </c>
      <c r="C1088" s="56" t="str">
        <f>IFERROR(VLOOKUP(B1088,'Rekap Stock Barang'!$A$7:$G$153,2,0),"")</f>
        <v>Sambal Baby Cumi</v>
      </c>
      <c r="D1088" s="55">
        <v>18</v>
      </c>
      <c r="E1088" s="26"/>
    </row>
    <row r="1089" spans="1:5" ht="16.5" x14ac:dyDescent="0.2">
      <c r="A1089" s="22"/>
      <c r="B1089" s="57" t="s">
        <v>31</v>
      </c>
      <c r="C1089" s="58" t="str">
        <f>IFERROR(VLOOKUP(B1089,'Rekap Stock Barang'!$A$7:$G$153,2,0),"")</f>
        <v>Bagor</v>
      </c>
      <c r="D1089" s="57">
        <v>10</v>
      </c>
      <c r="E1089" s="26"/>
    </row>
    <row r="1090" spans="1:5" ht="16.5" x14ac:dyDescent="0.2">
      <c r="A1090" s="22"/>
      <c r="B1090" s="57" t="s">
        <v>178</v>
      </c>
      <c r="C1090" s="58" t="str">
        <f>IFERROR(VLOOKUP(B1090,'Rekap Stock Barang'!$A$7:$G$153,2,0),"")</f>
        <v xml:space="preserve">Cireng </v>
      </c>
      <c r="D1090" s="57">
        <v>2</v>
      </c>
      <c r="E1090" s="26"/>
    </row>
    <row r="1091" spans="1:5" ht="16.5" x14ac:dyDescent="0.2">
      <c r="A1091" s="22"/>
      <c r="B1091" s="57" t="s">
        <v>238</v>
      </c>
      <c r="C1091" s="58" t="str">
        <f>IFERROR(VLOOKUP(B1091,'Rekap Stock Barang'!$A$7:$G$153,2,0),"")</f>
        <v>Sayap Goreng</v>
      </c>
      <c r="D1091" s="57">
        <v>1</v>
      </c>
      <c r="E1091" s="26"/>
    </row>
    <row r="1092" spans="1:5" ht="16.5" x14ac:dyDescent="0.2">
      <c r="A1092" s="22"/>
      <c r="B1092" s="59" t="s">
        <v>175</v>
      </c>
      <c r="C1092" s="60" t="str">
        <f>IFERROR(VLOOKUP(B1092,'Rekap Stock Barang'!$A$7:$G$153,2,0),"")</f>
        <v>Mineral</v>
      </c>
      <c r="D1092" s="59">
        <v>37</v>
      </c>
      <c r="E1092" s="26"/>
    </row>
    <row r="1093" spans="1:5" ht="16.5" x14ac:dyDescent="0.2">
      <c r="A1093" s="22"/>
      <c r="B1093" s="59" t="s">
        <v>170</v>
      </c>
      <c r="C1093" s="60" t="str">
        <f>IFERROR(VLOOKUP(B1093,'Rekap Stock Barang'!$A$7:$G$153,2,0),"")</f>
        <v>Air Tahu</v>
      </c>
      <c r="D1093" s="59">
        <v>3</v>
      </c>
      <c r="E1093" s="26"/>
    </row>
    <row r="1094" spans="1:5" ht="16.5" x14ac:dyDescent="0.2">
      <c r="A1094" s="22"/>
      <c r="B1094" s="59" t="s">
        <v>229</v>
      </c>
      <c r="C1094" s="60" t="str">
        <f>IFERROR(VLOOKUP(B1094,'Rekap Stock Barang'!$A$7:$G$153,2,0),"")</f>
        <v xml:space="preserve">Manggo Juice </v>
      </c>
      <c r="D1094" s="59">
        <v>2</v>
      </c>
      <c r="E1094" s="26"/>
    </row>
    <row r="1095" spans="1:5" ht="16.5" x14ac:dyDescent="0.2">
      <c r="A1095" s="22"/>
      <c r="B1095" s="59" t="s">
        <v>226</v>
      </c>
      <c r="C1095" s="60" t="str">
        <f>IFERROR(VLOOKUP(B1095,'Rekap Stock Barang'!$A$7:$G$153,2,0),"")</f>
        <v>Mix Berries</v>
      </c>
      <c r="D1095" s="59">
        <v>3</v>
      </c>
      <c r="E1095" s="26"/>
    </row>
    <row r="1096" spans="1:5" ht="16.5" x14ac:dyDescent="0.2">
      <c r="A1096" s="22"/>
      <c r="B1096" s="70" t="s">
        <v>202</v>
      </c>
      <c r="C1096" s="60" t="str">
        <f>IFERROR(VLOOKUP(B1096,'Rekap Stock Barang'!$A$7:$G$153,2,0),"")</f>
        <v xml:space="preserve">Zoda Water </v>
      </c>
      <c r="D1096" s="70">
        <v>0</v>
      </c>
      <c r="E1096" s="26"/>
    </row>
    <row r="1097" spans="1:5" ht="17.25" thickBot="1" x14ac:dyDescent="0.25">
      <c r="A1097" s="61"/>
      <c r="B1097" s="62" t="s">
        <v>223</v>
      </c>
      <c r="C1097" s="63" t="str">
        <f>IFERROR(VLOOKUP(B1097,'Rekap Stock Barang'!$A$7:$G$153,2,0),"")</f>
        <v>Sirsak Juice</v>
      </c>
      <c r="D1097" s="62">
        <v>2</v>
      </c>
      <c r="E1097" s="26"/>
    </row>
    <row r="1098" spans="1:5" ht="16.5" x14ac:dyDescent="0.2">
      <c r="A1098" s="68">
        <v>46289</v>
      </c>
      <c r="B1098" s="49" t="s">
        <v>204</v>
      </c>
      <c r="C1098" s="40" t="str">
        <f>IFERROR(VLOOKUP(B1098,'Rekap Stock Barang'!$A$7:$G$153,2,0),"")</f>
        <v xml:space="preserve">Gula </v>
      </c>
      <c r="D1098" s="49">
        <v>1</v>
      </c>
      <c r="E1098" s="26"/>
    </row>
    <row r="1099" spans="1:5" ht="16.5" x14ac:dyDescent="0.2">
      <c r="A1099" s="22"/>
      <c r="B1099" s="49" t="s">
        <v>127</v>
      </c>
      <c r="C1099" s="40" t="str">
        <f>IFERROR(VLOOKUP(B1099,'Rekap Stock Barang'!$A$7:$G$153,2,0),"")</f>
        <v>Vanilli</v>
      </c>
      <c r="D1099" s="49">
        <v>1</v>
      </c>
      <c r="E1099" s="26"/>
    </row>
    <row r="1100" spans="1:5" ht="16.5" x14ac:dyDescent="0.2">
      <c r="A1100" s="22"/>
      <c r="B1100" s="49" t="s">
        <v>272</v>
      </c>
      <c r="C1100" s="40" t="str">
        <f>IFERROR(VLOOKUP(B1100,'Rekap Stock Barang'!$A$7:$G$153,2,0),"")</f>
        <v>Tepung Telur</v>
      </c>
      <c r="D1100" s="49">
        <v>4</v>
      </c>
      <c r="E1100" s="26"/>
    </row>
    <row r="1101" spans="1:5" ht="16.5" x14ac:dyDescent="0.2">
      <c r="A1101" s="22"/>
      <c r="B1101" s="49" t="s">
        <v>164</v>
      </c>
      <c r="C1101" s="40" t="str">
        <f>IFERROR(VLOOKUP(B1101,'Rekap Stock Barang'!$A$7:$G$153,2,0),"")</f>
        <v xml:space="preserve">Ekonomi </v>
      </c>
      <c r="D1101" s="49">
        <v>4</v>
      </c>
      <c r="E1101" s="26"/>
    </row>
    <row r="1102" spans="1:5" ht="16.5" x14ac:dyDescent="0.2">
      <c r="A1102" s="22"/>
      <c r="B1102" s="49" t="s">
        <v>332</v>
      </c>
      <c r="C1102" s="40" t="str">
        <f>IFERROR(VLOOKUP(B1102,'Rekap Stock Barang'!$A$7:$G$153,2,0),"")</f>
        <v xml:space="preserve">Bumbu Nasi Gila </v>
      </c>
      <c r="D1102" s="49">
        <v>1</v>
      </c>
      <c r="E1102" s="26"/>
    </row>
    <row r="1103" spans="1:5" ht="16.5" x14ac:dyDescent="0.2">
      <c r="A1103" s="22"/>
      <c r="B1103" s="49" t="s">
        <v>282</v>
      </c>
      <c r="C1103" s="40" t="str">
        <f>IFERROR(VLOOKUP(B1103,'Rekap Stock Barang'!$A$7:$G$153,2,0),"")</f>
        <v>Bumbu Kwetiau</v>
      </c>
      <c r="D1103" s="49">
        <v>1</v>
      </c>
      <c r="E1103" s="26"/>
    </row>
    <row r="1104" spans="1:5" ht="16.5" x14ac:dyDescent="0.2">
      <c r="A1104" s="22"/>
      <c r="B1104" s="49" t="s">
        <v>273</v>
      </c>
      <c r="C1104" s="40" t="str">
        <f>IFERROR(VLOOKUP(B1104,'Rekap Stock Barang'!$A$7:$G$153,2,0),"")</f>
        <v>Sambal Bawang</v>
      </c>
      <c r="D1104" s="49">
        <v>2</v>
      </c>
      <c r="E1104" s="26"/>
    </row>
    <row r="1105" spans="1:5" ht="16.5" x14ac:dyDescent="0.2">
      <c r="A1105" s="22"/>
      <c r="B1105" s="49" t="s">
        <v>294</v>
      </c>
      <c r="C1105" s="40" t="str">
        <f>IFERROR(VLOOKUP(B1105,'Rekap Stock Barang'!$A$7:$G$153,2,0),"")</f>
        <v>Gorengan Mbakmoy</v>
      </c>
      <c r="D1105" s="49">
        <v>1</v>
      </c>
      <c r="E1105" s="26"/>
    </row>
    <row r="1106" spans="1:5" ht="16.5" x14ac:dyDescent="0.2">
      <c r="A1106" s="22"/>
      <c r="B1106" s="49" t="s">
        <v>283</v>
      </c>
      <c r="C1106" s="40" t="str">
        <f>IFERROR(VLOOKUP(B1106,'Rekap Stock Barang'!$A$7:$G$153,2,0),"")</f>
        <v>Sambal Petis</v>
      </c>
      <c r="D1106" s="49">
        <v>1</v>
      </c>
      <c r="E1106" s="26"/>
    </row>
    <row r="1107" spans="1:5" ht="16.5" x14ac:dyDescent="0.2">
      <c r="A1107" s="22" t="s">
        <v>331</v>
      </c>
      <c r="B1107" s="49" t="s">
        <v>249</v>
      </c>
      <c r="C1107" s="40" t="str">
        <f>IFERROR(VLOOKUP(B1107,'Rekap Stock Barang'!$A$7:$G$153,2,0),"")</f>
        <v>Minyak Beku</v>
      </c>
      <c r="D1107" s="49">
        <v>4</v>
      </c>
      <c r="E1107" s="26"/>
    </row>
    <row r="1108" spans="1:5" ht="16.5" x14ac:dyDescent="0.2">
      <c r="A1108" s="22" t="s">
        <v>331</v>
      </c>
      <c r="B1108" s="49" t="s">
        <v>254</v>
      </c>
      <c r="C1108" s="40" t="str">
        <f>IFERROR(VLOOKUP(B1108,'Rekap Stock Barang'!$A$7:$G$153,2,0),"")</f>
        <v>Kunci Mas</v>
      </c>
      <c r="D1108" s="49">
        <v>5</v>
      </c>
      <c r="E1108" s="26"/>
    </row>
    <row r="1109" spans="1:5" ht="16.5" x14ac:dyDescent="0.2">
      <c r="A1109" s="22"/>
      <c r="B1109" s="49" t="s">
        <v>215</v>
      </c>
      <c r="C1109" s="40" t="str">
        <f>IFERROR(VLOOKUP(B1109,'Rekap Stock Barang'!$A$7:$G$153,2,0),"")</f>
        <v>Cup Ice</v>
      </c>
      <c r="D1109" s="49">
        <v>1</v>
      </c>
      <c r="E1109" s="26"/>
    </row>
    <row r="1110" spans="1:5" ht="16.5" x14ac:dyDescent="0.2">
      <c r="A1110" s="22"/>
      <c r="B1110" s="49" t="s">
        <v>292</v>
      </c>
      <c r="C1110" s="40" t="str">
        <f>IFERROR(VLOOKUP(B1110,'Rekap Stock Barang'!$A$7:$G$153,2,0),"")</f>
        <v>Sambal Kuning</v>
      </c>
      <c r="D1110" s="49">
        <v>1</v>
      </c>
      <c r="E1110" s="26"/>
    </row>
    <row r="1111" spans="1:5" ht="16.5" x14ac:dyDescent="0.2">
      <c r="A1111" s="22"/>
      <c r="B1111" s="49" t="s">
        <v>217</v>
      </c>
      <c r="C1111" s="40" t="str">
        <f>IFERROR(VLOOKUP(B1111,'Rekap Stock Barang'!$A$7:$G$153,2,0),"")</f>
        <v>Thermal Paper</v>
      </c>
      <c r="D1111" s="49">
        <v>9</v>
      </c>
      <c r="E1111" s="26"/>
    </row>
    <row r="1112" spans="1:5" ht="16.5" x14ac:dyDescent="0.2">
      <c r="A1112" s="22"/>
      <c r="B1112" s="53" t="s">
        <v>130</v>
      </c>
      <c r="C1112" s="54" t="str">
        <f>IFERROR(VLOOKUP(B1112,'Rekap Stock Barang'!$A$7:$G$153,2,0),"")</f>
        <v>Plastik Sampah S</v>
      </c>
      <c r="D1112" s="53">
        <v>3</v>
      </c>
      <c r="E1112" s="26"/>
    </row>
    <row r="1113" spans="1:5" ht="16.5" x14ac:dyDescent="0.2">
      <c r="A1113" s="22"/>
      <c r="B1113" s="53" t="s">
        <v>131</v>
      </c>
      <c r="C1113" s="54" t="str">
        <f>IFERROR(VLOOKUP(B1113,'Rekap Stock Barang'!$A$7:$G$153,2,0),"")</f>
        <v>Plastik Sampah M</v>
      </c>
      <c r="D1113" s="53">
        <v>2</v>
      </c>
      <c r="E1113" s="26"/>
    </row>
    <row r="1114" spans="1:5" ht="16.5" x14ac:dyDescent="0.2">
      <c r="A1114" s="22"/>
      <c r="B1114" s="53" t="s">
        <v>132</v>
      </c>
      <c r="C1114" s="54" t="str">
        <f>IFERROR(VLOOKUP(B1114,'Rekap Stock Barang'!$A$7:$G$153,2,0),"")</f>
        <v>Plastik Sampah L</v>
      </c>
      <c r="D1114" s="53">
        <v>1</v>
      </c>
      <c r="E1114" s="26"/>
    </row>
    <row r="1115" spans="1:5" ht="16.5" x14ac:dyDescent="0.2">
      <c r="A1115" s="22"/>
      <c r="B1115" s="53" t="s">
        <v>274</v>
      </c>
      <c r="C1115" s="54" t="str">
        <f>IFERROR(VLOOKUP(B1115,'Rekap Stock Barang'!$A$7:$G$153,2,0),"")</f>
        <v>Plastik Sampah XL</v>
      </c>
      <c r="D1115" s="53">
        <v>0</v>
      </c>
      <c r="E1115" s="26"/>
    </row>
    <row r="1116" spans="1:5" ht="16.5" x14ac:dyDescent="0.2">
      <c r="A1116" s="22"/>
      <c r="B1116" s="55" t="s">
        <v>236</v>
      </c>
      <c r="C1116" s="56" t="str">
        <f>IFERROR(VLOOKUP(B1116,'Rekap Stock Barang'!$A$7:$G$153,2,0),"")</f>
        <v xml:space="preserve">Paha Gurih Manis </v>
      </c>
      <c r="D1116" s="55">
        <v>2</v>
      </c>
      <c r="E1116" s="26"/>
    </row>
    <row r="1117" spans="1:5" ht="16.5" x14ac:dyDescent="0.2">
      <c r="A1117" s="22"/>
      <c r="B1117" s="55" t="s">
        <v>241</v>
      </c>
      <c r="C1117" s="56" t="str">
        <f>IFERROR(VLOOKUP(B1117,'Rekap Stock Barang'!$A$7:$G$153,2,0),"")</f>
        <v>Dada Gurih Manis</v>
      </c>
      <c r="D1117" s="55">
        <v>4</v>
      </c>
      <c r="E1117" s="26"/>
    </row>
    <row r="1118" spans="1:5" ht="16.5" x14ac:dyDescent="0.2">
      <c r="A1118" s="22"/>
      <c r="B1118" s="55" t="s">
        <v>16</v>
      </c>
      <c r="C1118" s="56" t="str">
        <f>IFERROR(VLOOKUP(B1118,'Rekap Stock Barang'!$A$7:$G$153,2,0),"")</f>
        <v>Paha</v>
      </c>
      <c r="D1118" s="55">
        <v>7</v>
      </c>
      <c r="E1118" s="26"/>
    </row>
    <row r="1119" spans="1:5" ht="16.5" x14ac:dyDescent="0.2">
      <c r="A1119" s="22"/>
      <c r="B1119" s="55" t="s">
        <v>19</v>
      </c>
      <c r="C1119" s="56" t="str">
        <f>IFERROR(VLOOKUP(B1119,'Rekap Stock Barang'!$A$7:$G$153,2,0),"")</f>
        <v>Dada</v>
      </c>
      <c r="D1119" s="55">
        <v>6</v>
      </c>
      <c r="E1119" s="26"/>
    </row>
    <row r="1120" spans="1:5" ht="16.5" x14ac:dyDescent="0.2">
      <c r="A1120" s="22"/>
      <c r="B1120" s="55" t="s">
        <v>8</v>
      </c>
      <c r="C1120" s="56" t="str">
        <f>IFERROR(VLOOKUP(B1120,'Rekap Stock Barang'!$A$7:$G$153,2,0),"")</f>
        <v xml:space="preserve">Ayam Suwir </v>
      </c>
      <c r="D1120" s="55">
        <v>18</v>
      </c>
      <c r="E1120" s="26"/>
    </row>
    <row r="1121" spans="1:5" ht="16.5" x14ac:dyDescent="0.2">
      <c r="A1121" s="22"/>
      <c r="B1121" s="55" t="s">
        <v>9</v>
      </c>
      <c r="C1121" s="56" t="str">
        <f>IFERROR(VLOOKUP(B1121,'Rekap Stock Barang'!$A$7:$G$153,2,0),"")</f>
        <v xml:space="preserve">Topping Kwetiau </v>
      </c>
      <c r="D1121" s="55">
        <v>8</v>
      </c>
      <c r="E1121" s="26"/>
    </row>
    <row r="1122" spans="1:5" ht="16.5" x14ac:dyDescent="0.2">
      <c r="A1122" s="22"/>
      <c r="B1122" s="55" t="s">
        <v>243</v>
      </c>
      <c r="C1122" s="56" t="str">
        <f>IFERROR(VLOOKUP(B1122,'Rekap Stock Barang'!$A$7:$G$153,2,0),"")</f>
        <v xml:space="preserve">Daging Slice </v>
      </c>
      <c r="D1122" s="55">
        <v>2</v>
      </c>
      <c r="E1122" s="26"/>
    </row>
    <row r="1123" spans="1:5" ht="16.5" x14ac:dyDescent="0.2">
      <c r="A1123" s="22"/>
      <c r="B1123" s="55" t="s">
        <v>14</v>
      </c>
      <c r="C1123" s="56" t="str">
        <f>IFERROR(VLOOKUP(B1123,'Rekap Stock Barang'!$A$7:$G$153,2,0),"")</f>
        <v>Ayam Jamur</v>
      </c>
      <c r="D1123" s="55">
        <v>7</v>
      </c>
      <c r="E1123" s="26"/>
    </row>
    <row r="1124" spans="1:5" ht="16.5" x14ac:dyDescent="0.2">
      <c r="A1124" s="22"/>
      <c r="B1124" s="55" t="s">
        <v>20</v>
      </c>
      <c r="C1124" s="56" t="str">
        <f>IFERROR(VLOOKUP(B1124,'Rekap Stock Barang'!$A$7:$G$153,2,0),"")</f>
        <v>Cumi</v>
      </c>
      <c r="D1124" s="55">
        <v>10</v>
      </c>
      <c r="E1124" s="26"/>
    </row>
    <row r="1125" spans="1:5" ht="16.5" x14ac:dyDescent="0.2">
      <c r="A1125" s="22"/>
      <c r="B1125" s="55" t="s">
        <v>38</v>
      </c>
      <c r="C1125" s="56" t="str">
        <f>IFERROR(VLOOKUP(B1125,'Rekap Stock Barang'!$A$7:$G$153,2,0),"")</f>
        <v>Daging Sambal HIjau</v>
      </c>
      <c r="D1125" s="55">
        <v>1</v>
      </c>
      <c r="E1125" s="26"/>
    </row>
    <row r="1126" spans="1:5" ht="16.5" x14ac:dyDescent="0.2">
      <c r="A1126" s="22"/>
      <c r="B1126" s="55" t="s">
        <v>22</v>
      </c>
      <c r="C1126" s="56" t="str">
        <f>IFERROR(VLOOKUP(B1126,'Rekap Stock Barang'!$A$7:$G$153,2,0),"")</f>
        <v>Kulit</v>
      </c>
      <c r="D1126" s="55">
        <v>4</v>
      </c>
      <c r="E1126" s="26"/>
    </row>
    <row r="1127" spans="1:5" ht="16.5" x14ac:dyDescent="0.2">
      <c r="A1127" s="22"/>
      <c r="B1127" s="55" t="s">
        <v>28</v>
      </c>
      <c r="C1127" s="56" t="str">
        <f>IFERROR(VLOOKUP(B1127,'Rekap Stock Barang'!$A$7:$G$153,2,0),"")</f>
        <v xml:space="preserve">Topping Nasi Gila </v>
      </c>
      <c r="D1127" s="55">
        <v>1</v>
      </c>
      <c r="E1127" s="26"/>
    </row>
    <row r="1128" spans="1:5" ht="16.5" x14ac:dyDescent="0.2">
      <c r="A1128" s="22"/>
      <c r="B1128" s="55" t="s">
        <v>24</v>
      </c>
      <c r="C1128" s="56" t="str">
        <f>IFERROR(VLOOKUP(B1128,'Rekap Stock Barang'!$A$7:$G$153,2,0),"")</f>
        <v xml:space="preserve">Lidah </v>
      </c>
      <c r="D1128" s="55">
        <v>6</v>
      </c>
      <c r="E1128" s="26"/>
    </row>
    <row r="1129" spans="1:5" ht="16.5" x14ac:dyDescent="0.2">
      <c r="A1129" s="22"/>
      <c r="B1129" s="55" t="s">
        <v>288</v>
      </c>
      <c r="C1129" s="56" t="str">
        <f>IFERROR(VLOOKUP(B1129,'Rekap Stock Barang'!$A$7:$G$153,2,0),"")</f>
        <v>Pete</v>
      </c>
      <c r="D1129" s="55">
        <v>0</v>
      </c>
      <c r="E1129" s="26"/>
    </row>
    <row r="1130" spans="1:5" ht="16.5" x14ac:dyDescent="0.2">
      <c r="A1130" s="22"/>
      <c r="B1130" s="55" t="s">
        <v>275</v>
      </c>
      <c r="C1130" s="56" t="str">
        <f>IFERROR(VLOOKUP(B1130,'Rekap Stock Barang'!$A$7:$G$153,2,0),"")</f>
        <v xml:space="preserve">Teri Pete </v>
      </c>
      <c r="D1130" s="55">
        <v>3</v>
      </c>
      <c r="E1130" s="26"/>
    </row>
    <row r="1131" spans="1:5" ht="16.5" x14ac:dyDescent="0.2">
      <c r="A1131" s="22"/>
      <c r="B1131" s="55" t="s">
        <v>279</v>
      </c>
      <c r="C1131" s="56" t="str">
        <f>IFERROR(VLOOKUP(B1131,'Rekap Stock Barang'!$A$7:$G$153,2,0),"")</f>
        <v>Lidah Goreng Segara</v>
      </c>
      <c r="D1131" s="55">
        <v>21</v>
      </c>
      <c r="E1131" s="26"/>
    </row>
    <row r="1132" spans="1:5" ht="16.5" x14ac:dyDescent="0.2">
      <c r="A1132" s="22"/>
      <c r="B1132" s="55" t="s">
        <v>10</v>
      </c>
      <c r="C1132" s="56" t="str">
        <f>IFERROR(VLOOKUP(B1132,'Rekap Stock Barang'!$A$7:$G$153,2,0),"")</f>
        <v>Topping Mbakmoy</v>
      </c>
      <c r="D1132" s="55">
        <v>4</v>
      </c>
      <c r="E1132" s="26"/>
    </row>
    <row r="1133" spans="1:5" ht="16.5" x14ac:dyDescent="0.2">
      <c r="A1133" s="22"/>
      <c r="B1133" s="55" t="s">
        <v>276</v>
      </c>
      <c r="C1133" s="56" t="str">
        <f>IFERROR(VLOOKUP(B1133,'Rekap Stock Barang'!$A$7:$G$153,2,0),"")</f>
        <v>Sambal Baby Cumi</v>
      </c>
      <c r="D1133" s="55">
        <v>15</v>
      </c>
      <c r="E1133" s="26"/>
    </row>
    <row r="1134" spans="1:5" ht="16.5" x14ac:dyDescent="0.2">
      <c r="A1134" s="22"/>
      <c r="B1134" s="57" t="s">
        <v>31</v>
      </c>
      <c r="C1134" s="58" t="str">
        <f>IFERROR(VLOOKUP(B1134,'Rekap Stock Barang'!$A$7:$G$153,2,0),"")</f>
        <v>Bagor</v>
      </c>
      <c r="D1134" s="57">
        <v>9</v>
      </c>
      <c r="E1134" s="26"/>
    </row>
    <row r="1135" spans="1:5" ht="16.5" x14ac:dyDescent="0.2">
      <c r="A1135" s="22"/>
      <c r="B1135" s="57" t="s">
        <v>178</v>
      </c>
      <c r="C1135" s="58" t="str">
        <f>IFERROR(VLOOKUP(B1135,'Rekap Stock Barang'!$A$7:$G$153,2,0),"")</f>
        <v xml:space="preserve">Cireng </v>
      </c>
      <c r="D1135" s="57">
        <v>0</v>
      </c>
      <c r="E1135" s="26"/>
    </row>
    <row r="1136" spans="1:5" ht="16.5" x14ac:dyDescent="0.2">
      <c r="A1136" s="22"/>
      <c r="B1136" s="57" t="s">
        <v>238</v>
      </c>
      <c r="C1136" s="58" t="str">
        <f>IFERROR(VLOOKUP(B1136,'Rekap Stock Barang'!$A$7:$G$153,2,0),"")</f>
        <v>Sayap Goreng</v>
      </c>
      <c r="D1136" s="57">
        <v>2</v>
      </c>
      <c r="E1136" s="26"/>
    </row>
    <row r="1137" spans="1:5" ht="16.5" x14ac:dyDescent="0.2">
      <c r="A1137" s="22"/>
      <c r="B1137" s="59" t="s">
        <v>175</v>
      </c>
      <c r="C1137" s="60" t="str">
        <f>IFERROR(VLOOKUP(B1137,'Rekap Stock Barang'!$A$7:$G$153,2,0),"")</f>
        <v>Mineral</v>
      </c>
      <c r="D1137" s="59">
        <v>29</v>
      </c>
      <c r="E1137" s="26"/>
    </row>
    <row r="1138" spans="1:5" ht="16.5" x14ac:dyDescent="0.2">
      <c r="A1138" s="22"/>
      <c r="B1138" s="59" t="s">
        <v>170</v>
      </c>
      <c r="C1138" s="60" t="str">
        <f>IFERROR(VLOOKUP(B1138,'Rekap Stock Barang'!$A$7:$G$153,2,0),"")</f>
        <v>Air Tahu</v>
      </c>
      <c r="D1138" s="59">
        <v>6</v>
      </c>
      <c r="E1138" s="26"/>
    </row>
    <row r="1139" spans="1:5" ht="16.5" x14ac:dyDescent="0.2">
      <c r="A1139" s="22"/>
      <c r="B1139" s="59" t="s">
        <v>229</v>
      </c>
      <c r="C1139" s="60" t="str">
        <f>IFERROR(VLOOKUP(B1139,'Rekap Stock Barang'!$A$7:$G$153,2,0),"")</f>
        <v xml:space="preserve">Manggo Juice </v>
      </c>
      <c r="D1139" s="59">
        <v>2</v>
      </c>
      <c r="E1139" s="26"/>
    </row>
    <row r="1140" spans="1:5" ht="16.5" x14ac:dyDescent="0.2">
      <c r="A1140" s="22"/>
      <c r="B1140" s="59" t="s">
        <v>226</v>
      </c>
      <c r="C1140" s="60" t="str">
        <f>IFERROR(VLOOKUP(B1140,'Rekap Stock Barang'!$A$7:$G$153,2,0),"")</f>
        <v>Mix Berries</v>
      </c>
      <c r="D1140" s="59">
        <v>6</v>
      </c>
      <c r="E1140" s="26"/>
    </row>
    <row r="1141" spans="1:5" ht="16.5" x14ac:dyDescent="0.2">
      <c r="A1141" s="22"/>
      <c r="B1141" s="70" t="s">
        <v>202</v>
      </c>
      <c r="C1141" s="60" t="str">
        <f>IFERROR(VLOOKUP(B1141,'Rekap Stock Barang'!$A$7:$G$153,2,0),"")</f>
        <v xml:space="preserve">Zoda Water </v>
      </c>
      <c r="D1141" s="70">
        <v>0</v>
      </c>
      <c r="E1141" s="26"/>
    </row>
    <row r="1142" spans="1:5" ht="17.25" thickBot="1" x14ac:dyDescent="0.25">
      <c r="A1142" s="61"/>
      <c r="B1142" s="62" t="s">
        <v>223</v>
      </c>
      <c r="C1142" s="63" t="str">
        <f>IFERROR(VLOOKUP(B1142,'Rekap Stock Barang'!$A$7:$G$153,2,0),"")</f>
        <v>Sirsak Juice</v>
      </c>
      <c r="D1142" s="62">
        <v>1</v>
      </c>
      <c r="E1142" s="26"/>
    </row>
    <row r="1143" spans="1:5" ht="16.5" x14ac:dyDescent="0.2">
      <c r="A1143" s="21">
        <v>46290</v>
      </c>
      <c r="B1143" s="49" t="s">
        <v>320</v>
      </c>
      <c r="C1143" s="40" t="str">
        <f>IFERROR(VLOOKUP(B1143,'Rekap Stock Barang'!$A$7:$G$153,2,0),"")</f>
        <v>Minyak Beku</v>
      </c>
      <c r="D1143" s="49">
        <v>1</v>
      </c>
      <c r="E1143" s="26"/>
    </row>
    <row r="1144" spans="1:5" ht="16.5" x14ac:dyDescent="0.2">
      <c r="A1144" s="22"/>
      <c r="B1144" s="49" t="s">
        <v>290</v>
      </c>
      <c r="C1144" s="40" t="str">
        <f>IFERROR(VLOOKUP(B1144,'Rekap Stock Barang'!$A$7:$G$153,2,0),"")</f>
        <v>Bumbu Serundeng</v>
      </c>
      <c r="D1144" s="49">
        <v>5</v>
      </c>
      <c r="E1144" s="26"/>
    </row>
    <row r="1145" spans="1:5" ht="16.5" x14ac:dyDescent="0.2">
      <c r="A1145" s="22"/>
      <c r="B1145" s="49" t="s">
        <v>158</v>
      </c>
      <c r="C1145" s="40" t="str">
        <f>IFERROR(VLOOKUP(B1145,'Rekap Stock Barang'!$A$7:$G$153,2,0),"")</f>
        <v>Take Away Box S</v>
      </c>
      <c r="D1145" s="49">
        <v>1</v>
      </c>
      <c r="E1145" s="26"/>
    </row>
    <row r="1146" spans="1:5" ht="16.5" x14ac:dyDescent="0.2">
      <c r="A1146" s="22"/>
      <c r="B1146" s="49" t="s">
        <v>160</v>
      </c>
      <c r="C1146" s="40" t="str">
        <f>IFERROR(VLOOKUP(B1146,'Rekap Stock Barang'!$A$7:$G$153,2,0),"")</f>
        <v>Take Away Box M</v>
      </c>
      <c r="D1146" s="49">
        <v>1</v>
      </c>
      <c r="E1146" s="26"/>
    </row>
    <row r="1147" spans="1:5" ht="16.5" x14ac:dyDescent="0.2">
      <c r="A1147" s="22"/>
      <c r="B1147" s="49" t="s">
        <v>233</v>
      </c>
      <c r="C1147" s="40" t="str">
        <f>IFERROR(VLOOKUP(B1147,'Rekap Stock Barang'!$A$7:$G$153,2,0),"")</f>
        <v>Roti Angsle</v>
      </c>
      <c r="D1147" s="49">
        <v>1</v>
      </c>
      <c r="E1147" s="26"/>
    </row>
    <row r="1148" spans="1:5" ht="16.5" x14ac:dyDescent="0.2">
      <c r="A1148" s="22"/>
      <c r="B1148" s="49" t="s">
        <v>234</v>
      </c>
      <c r="C1148" s="40" t="str">
        <f>IFERROR(VLOOKUP(B1148,'Rekap Stock Barang'!$A$7:$G$153,2,0),"")</f>
        <v>Roti Bakar</v>
      </c>
      <c r="D1148" s="49">
        <v>2</v>
      </c>
      <c r="E1148" s="26"/>
    </row>
    <row r="1149" spans="1:5" ht="16.5" x14ac:dyDescent="0.2">
      <c r="A1149" s="22"/>
      <c r="B1149" s="49" t="s">
        <v>271</v>
      </c>
      <c r="C1149" s="40" t="str">
        <f>IFERROR(VLOOKUP(B1149,'Rekap Stock Barang'!$A$7:$G$153,2,0),"")</f>
        <v>Plastik Soup XS</v>
      </c>
      <c r="D1149" s="49">
        <v>1</v>
      </c>
      <c r="E1149" s="26"/>
    </row>
    <row r="1150" spans="1:5" ht="16.5" x14ac:dyDescent="0.2">
      <c r="A1150" s="28"/>
      <c r="B1150" s="5" t="s">
        <v>189</v>
      </c>
      <c r="C1150" s="3" t="str">
        <f>IFERROR(VLOOKUP(B1150,'Rekap Stock Barang'!$A$7:$G$153,2,0),"")</f>
        <v xml:space="preserve">Susu Evaporasi </v>
      </c>
      <c r="D1150" s="5">
        <v>1</v>
      </c>
      <c r="E1150" s="26"/>
    </row>
    <row r="1151" spans="1:5" ht="16.5" x14ac:dyDescent="0.2">
      <c r="A1151" s="22"/>
      <c r="B1151" s="5" t="s">
        <v>293</v>
      </c>
      <c r="C1151" s="3" t="str">
        <f>IFERROR(VLOOKUP(B1151,'Rekap Stock Barang'!$A$7:$G$153,2,0),"")</f>
        <v>Susu Kental Manis Carnation</v>
      </c>
      <c r="D1151" s="5">
        <v>1</v>
      </c>
      <c r="E1151" s="26"/>
    </row>
    <row r="1152" spans="1:5" ht="16.5" x14ac:dyDescent="0.2">
      <c r="A1152" s="21"/>
      <c r="B1152" s="5" t="s">
        <v>204</v>
      </c>
      <c r="C1152" s="3" t="str">
        <f>IFERROR(VLOOKUP(B1152,'Rekap Stock Barang'!$A$7:$G$153,2,0),"")</f>
        <v xml:space="preserve">Gula </v>
      </c>
      <c r="D1152" s="5">
        <v>1</v>
      </c>
      <c r="E1152" s="26"/>
    </row>
    <row r="1153" spans="1:5" ht="16.5" x14ac:dyDescent="0.2">
      <c r="A1153" s="22"/>
      <c r="B1153" s="5" t="s">
        <v>213</v>
      </c>
      <c r="C1153" s="3" t="str">
        <f>IFERROR(VLOOKUP(B1153,'Rekap Stock Barang'!$A$7:$G$153,2,0),"")</f>
        <v xml:space="preserve">Nurtijel Plain </v>
      </c>
      <c r="D1153" s="5">
        <v>2</v>
      </c>
      <c r="E1153" s="26"/>
    </row>
    <row r="1154" spans="1:5" ht="16.5" x14ac:dyDescent="0.2">
      <c r="A1154" s="22"/>
      <c r="B1154" s="5" t="s">
        <v>281</v>
      </c>
      <c r="C1154" s="3" t="str">
        <f>IFERROR(VLOOKUP(B1154,'Rekap Stock Barang'!$A$7:$G$153,2,0),"")</f>
        <v>Diamond Milk</v>
      </c>
      <c r="D1154" s="5">
        <v>1</v>
      </c>
      <c r="E1154" s="26"/>
    </row>
    <row r="1155" spans="1:5" ht="16.5" x14ac:dyDescent="0.2">
      <c r="A1155" s="22"/>
      <c r="B1155" s="5" t="s">
        <v>273</v>
      </c>
      <c r="C1155" s="3" t="str">
        <f>IFERROR(VLOOKUP(B1155,'Rekap Stock Barang'!$A$7:$G$153,2,0),"")</f>
        <v>Sambal Bawang</v>
      </c>
      <c r="D1155" s="5">
        <v>1</v>
      </c>
      <c r="E1155" s="26"/>
    </row>
    <row r="1156" spans="1:5" ht="16.5" x14ac:dyDescent="0.2">
      <c r="A1156" s="22"/>
      <c r="B1156" s="5" t="s">
        <v>217</v>
      </c>
      <c r="C1156" s="3" t="str">
        <f>IFERROR(VLOOKUP(B1156,'Rekap Stock Barang'!$A$7:$G$153,2,0),"")</f>
        <v>Thermal Paper</v>
      </c>
      <c r="D1156" s="5">
        <v>2</v>
      </c>
      <c r="E1156" s="26"/>
    </row>
    <row r="1157" spans="1:5" ht="16.5" x14ac:dyDescent="0.2">
      <c r="A1157" s="21"/>
      <c r="B1157" s="5" t="s">
        <v>201</v>
      </c>
      <c r="C1157" s="3" t="str">
        <f>IFERROR(VLOOKUP(B1157,'Rekap Stock Barang'!$A$7:$G$153,2,0),"")</f>
        <v xml:space="preserve">Soda Polaris </v>
      </c>
      <c r="D1157" s="5">
        <v>1</v>
      </c>
      <c r="E1157" s="26"/>
    </row>
    <row r="1158" spans="1:5" ht="16.5" x14ac:dyDescent="0.2">
      <c r="A1158" s="22"/>
      <c r="B1158" s="5" t="s">
        <v>280</v>
      </c>
      <c r="C1158" s="3" t="str">
        <f>IFERROR(VLOOKUP(B1158,'Rekap Stock Barang'!$A$7:$G$153,2,0),"")</f>
        <v xml:space="preserve">Bumbu Racik </v>
      </c>
      <c r="D1158" s="5">
        <v>3</v>
      </c>
      <c r="E1158" s="26"/>
    </row>
    <row r="1159" spans="1:5" ht="16.5" x14ac:dyDescent="0.2">
      <c r="A1159" s="22"/>
      <c r="B1159" s="5" t="s">
        <v>263</v>
      </c>
      <c r="C1159" s="3" t="str">
        <f>IFERROR(VLOOKUP(B1159,'Rekap Stock Barang'!$A$7:$G$153,2,0),"")</f>
        <v>Sambal Terasi</v>
      </c>
      <c r="D1159" s="5">
        <v>1</v>
      </c>
      <c r="E1159" s="26"/>
    </row>
    <row r="1160" spans="1:5" ht="16.5" x14ac:dyDescent="0.2">
      <c r="A1160" s="22"/>
      <c r="B1160" s="5" t="s">
        <v>272</v>
      </c>
      <c r="C1160" s="3" t="str">
        <f>IFERROR(VLOOKUP(B1160,'Rekap Stock Barang'!$A$7:$G$153,2,0),"")</f>
        <v>Tepung Telur</v>
      </c>
      <c r="D1160" s="5">
        <v>3</v>
      </c>
      <c r="E1160" s="26"/>
    </row>
    <row r="1161" spans="1:5" ht="16.5" x14ac:dyDescent="0.2">
      <c r="A1161" s="28"/>
      <c r="B1161" s="22" t="s">
        <v>308</v>
      </c>
      <c r="C1161" s="3" t="str">
        <f>IFERROR(VLOOKUP(B1161,'Rekap Stock Barang'!$A$7:$G$153,2,0),"")</f>
        <v xml:space="preserve">Bumbu Lidah </v>
      </c>
      <c r="D1161" s="22">
        <v>1</v>
      </c>
      <c r="E1161" s="26"/>
    </row>
    <row r="1162" spans="1:5" ht="16.5" x14ac:dyDescent="0.2">
      <c r="A1162" s="28"/>
      <c r="B1162" s="5" t="s">
        <v>164</v>
      </c>
      <c r="C1162" s="3" t="str">
        <f>IFERROR(VLOOKUP(B1162,'Rekap Stock Barang'!$A$7:$G$153,2,0),"")</f>
        <v xml:space="preserve">Ekonomi </v>
      </c>
      <c r="D1162" s="5">
        <v>3</v>
      </c>
      <c r="E1162" s="26"/>
    </row>
    <row r="1163" spans="1:5" ht="16.5" x14ac:dyDescent="0.2">
      <c r="A1163" s="48"/>
      <c r="B1163" s="29" t="s">
        <v>270</v>
      </c>
      <c r="C1163" s="3" t="str">
        <f>IFERROR(VLOOKUP(B1163,'Rekap Stock Barang'!$A$7:$G$153,2,0),"")</f>
        <v>Tissue Toilet</v>
      </c>
      <c r="D1163" s="29">
        <v>2</v>
      </c>
      <c r="E1163" s="26"/>
    </row>
    <row r="1164" spans="1:5" ht="16.5" x14ac:dyDescent="0.2">
      <c r="A1164" s="22"/>
      <c r="B1164" s="5" t="s">
        <v>148</v>
      </c>
      <c r="C1164" s="3" t="str">
        <f>IFERROR(VLOOKUP(B1164,'Rekap Stock Barang'!$A$7:$G$153,2,0),"")</f>
        <v>Tissue Meja</v>
      </c>
      <c r="D1164" s="5">
        <v>1</v>
      </c>
      <c r="E1164" s="26"/>
    </row>
    <row r="1165" spans="1:5" ht="16.5" x14ac:dyDescent="0.2">
      <c r="A1165" s="22"/>
      <c r="B1165" s="53" t="s">
        <v>130</v>
      </c>
      <c r="C1165" s="54" t="str">
        <f>IFERROR(VLOOKUP(B1165,'Rekap Stock Barang'!$A$7:$G$153,2,0),"")</f>
        <v>Plastik Sampah S</v>
      </c>
      <c r="D1165" s="53">
        <v>2</v>
      </c>
      <c r="E1165" s="26"/>
    </row>
    <row r="1166" spans="1:5" ht="16.5" x14ac:dyDescent="0.2">
      <c r="A1166" s="22"/>
      <c r="B1166" s="53" t="s">
        <v>131</v>
      </c>
      <c r="C1166" s="54" t="str">
        <f>IFERROR(VLOOKUP(B1166,'Rekap Stock Barang'!$A$7:$G$153,2,0),"")</f>
        <v>Plastik Sampah M</v>
      </c>
      <c r="D1166" s="53">
        <v>2</v>
      </c>
      <c r="E1166" s="26"/>
    </row>
    <row r="1167" spans="1:5" ht="16.5" x14ac:dyDescent="0.2">
      <c r="A1167" s="22"/>
      <c r="B1167" s="53" t="s">
        <v>132</v>
      </c>
      <c r="C1167" s="54" t="str">
        <f>IFERROR(VLOOKUP(B1167,'Rekap Stock Barang'!$A$7:$G$153,2,0),"")</f>
        <v>Plastik Sampah L</v>
      </c>
      <c r="D1167" s="53">
        <v>1</v>
      </c>
      <c r="E1167" s="26"/>
    </row>
    <row r="1168" spans="1:5" ht="16.5" x14ac:dyDescent="0.2">
      <c r="A1168" s="22"/>
      <c r="B1168" s="53" t="s">
        <v>274</v>
      </c>
      <c r="C1168" s="54" t="str">
        <f>IFERROR(VLOOKUP(B1168,'Rekap Stock Barang'!$A$7:$G$153,2,0),"")</f>
        <v>Plastik Sampah XL</v>
      </c>
      <c r="D1168" s="53">
        <v>2</v>
      </c>
      <c r="E1168" s="26"/>
    </row>
    <row r="1169" spans="1:5" ht="16.5" x14ac:dyDescent="0.2">
      <c r="A1169" s="22"/>
      <c r="B1169" s="55" t="s">
        <v>236</v>
      </c>
      <c r="C1169" s="56" t="str">
        <f>IFERROR(VLOOKUP(B1169,'Rekap Stock Barang'!$A$7:$G$153,2,0),"")</f>
        <v xml:space="preserve">Paha Gurih Manis </v>
      </c>
      <c r="D1169" s="55">
        <v>2</v>
      </c>
      <c r="E1169" s="26"/>
    </row>
    <row r="1170" spans="1:5" ht="16.5" x14ac:dyDescent="0.2">
      <c r="A1170" s="22"/>
      <c r="B1170" s="55" t="s">
        <v>241</v>
      </c>
      <c r="C1170" s="56" t="str">
        <f>IFERROR(VLOOKUP(B1170,'Rekap Stock Barang'!$A$7:$G$153,2,0),"")</f>
        <v>Dada Gurih Manis</v>
      </c>
      <c r="D1170" s="55">
        <v>1</v>
      </c>
      <c r="E1170" s="26"/>
    </row>
    <row r="1171" spans="1:5" ht="16.5" x14ac:dyDescent="0.2">
      <c r="A1171" s="22"/>
      <c r="B1171" s="55" t="s">
        <v>16</v>
      </c>
      <c r="C1171" s="56" t="str">
        <f>IFERROR(VLOOKUP(B1171,'Rekap Stock Barang'!$A$7:$G$153,2,0),"")</f>
        <v>Paha</v>
      </c>
      <c r="D1171" s="55">
        <v>8</v>
      </c>
      <c r="E1171" s="26"/>
    </row>
    <row r="1172" spans="1:5" ht="16.5" x14ac:dyDescent="0.2">
      <c r="A1172" s="22"/>
      <c r="B1172" s="55" t="s">
        <v>19</v>
      </c>
      <c r="C1172" s="56" t="str">
        <f>IFERROR(VLOOKUP(B1172,'Rekap Stock Barang'!$A$7:$G$153,2,0),"")</f>
        <v>Dada</v>
      </c>
      <c r="D1172" s="55">
        <v>4</v>
      </c>
      <c r="E1172" s="26"/>
    </row>
    <row r="1173" spans="1:5" ht="16.5" x14ac:dyDescent="0.2">
      <c r="A1173" s="22"/>
      <c r="B1173" s="55" t="s">
        <v>8</v>
      </c>
      <c r="C1173" s="56" t="str">
        <f>IFERROR(VLOOKUP(B1173,'Rekap Stock Barang'!$A$7:$G$153,2,0),"")</f>
        <v xml:space="preserve">Ayam Suwir </v>
      </c>
      <c r="D1173" s="55">
        <v>13</v>
      </c>
      <c r="E1173" s="26"/>
    </row>
    <row r="1174" spans="1:5" ht="16.5" x14ac:dyDescent="0.2">
      <c r="A1174" s="22"/>
      <c r="B1174" s="55" t="s">
        <v>9</v>
      </c>
      <c r="C1174" s="56" t="str">
        <f>IFERROR(VLOOKUP(B1174,'Rekap Stock Barang'!$A$7:$G$153,2,0),"")</f>
        <v xml:space="preserve">Topping Kwetiau </v>
      </c>
      <c r="D1174" s="55">
        <v>4</v>
      </c>
      <c r="E1174" s="26"/>
    </row>
    <row r="1175" spans="1:5" ht="16.5" x14ac:dyDescent="0.2">
      <c r="A1175" s="22"/>
      <c r="B1175" s="55" t="s">
        <v>243</v>
      </c>
      <c r="C1175" s="56" t="str">
        <f>IFERROR(VLOOKUP(B1175,'Rekap Stock Barang'!$A$7:$G$153,2,0),"")</f>
        <v xml:space="preserve">Daging Slice </v>
      </c>
      <c r="D1175" s="55">
        <v>6</v>
      </c>
      <c r="E1175" s="26"/>
    </row>
    <row r="1176" spans="1:5" ht="16.5" x14ac:dyDescent="0.2">
      <c r="A1176" s="22"/>
      <c r="B1176" s="55" t="s">
        <v>14</v>
      </c>
      <c r="C1176" s="56" t="str">
        <f>IFERROR(VLOOKUP(B1176,'Rekap Stock Barang'!$A$7:$G$153,2,0),"")</f>
        <v>Ayam Jamur</v>
      </c>
      <c r="D1176" s="55">
        <v>5</v>
      </c>
      <c r="E1176" s="26"/>
    </row>
    <row r="1177" spans="1:5" ht="16.5" x14ac:dyDescent="0.2">
      <c r="A1177" s="22"/>
      <c r="B1177" s="55" t="s">
        <v>20</v>
      </c>
      <c r="C1177" s="56" t="str">
        <f>IFERROR(VLOOKUP(B1177,'Rekap Stock Barang'!$A$7:$G$153,2,0),"")</f>
        <v>Cumi</v>
      </c>
      <c r="D1177" s="55">
        <v>8</v>
      </c>
      <c r="E1177" s="26"/>
    </row>
    <row r="1178" spans="1:5" ht="16.5" x14ac:dyDescent="0.2">
      <c r="A1178" s="22"/>
      <c r="B1178" s="55" t="s">
        <v>38</v>
      </c>
      <c r="C1178" s="56" t="str">
        <f>IFERROR(VLOOKUP(B1178,'Rekap Stock Barang'!$A$7:$G$153,2,0),"")</f>
        <v>Daging Sambal HIjau</v>
      </c>
      <c r="D1178" s="55">
        <v>4</v>
      </c>
      <c r="E1178" s="26"/>
    </row>
    <row r="1179" spans="1:5" ht="16.5" x14ac:dyDescent="0.2">
      <c r="A1179" s="22"/>
      <c r="B1179" s="55" t="s">
        <v>22</v>
      </c>
      <c r="C1179" s="56" t="str">
        <f>IFERROR(VLOOKUP(B1179,'Rekap Stock Barang'!$A$7:$G$153,2,0),"")</f>
        <v>Kulit</v>
      </c>
      <c r="D1179" s="55">
        <v>2</v>
      </c>
      <c r="E1179" s="26"/>
    </row>
    <row r="1180" spans="1:5" ht="16.5" x14ac:dyDescent="0.2">
      <c r="A1180" s="22"/>
      <c r="B1180" s="55" t="s">
        <v>28</v>
      </c>
      <c r="C1180" s="56" t="str">
        <f>IFERROR(VLOOKUP(B1180,'Rekap Stock Barang'!$A$7:$G$153,2,0),"")</f>
        <v xml:space="preserve">Topping Nasi Gila </v>
      </c>
      <c r="D1180" s="55">
        <v>7</v>
      </c>
      <c r="E1180" s="26"/>
    </row>
    <row r="1181" spans="1:5" ht="16.5" x14ac:dyDescent="0.2">
      <c r="A1181" s="22"/>
      <c r="B1181" s="55" t="s">
        <v>24</v>
      </c>
      <c r="C1181" s="56" t="str">
        <f>IFERROR(VLOOKUP(B1181,'Rekap Stock Barang'!$A$7:$G$153,2,0),"")</f>
        <v xml:space="preserve">Lidah </v>
      </c>
      <c r="D1181" s="55">
        <v>6</v>
      </c>
      <c r="E1181" s="26"/>
    </row>
    <row r="1182" spans="1:5" ht="16.5" x14ac:dyDescent="0.2">
      <c r="A1182" s="22"/>
      <c r="B1182" s="55" t="s">
        <v>335</v>
      </c>
      <c r="C1182" s="56" t="str">
        <f>IFERROR(VLOOKUP(B1182,'Rekap Stock Barang'!$A$7:$G$153,2,0),"")</f>
        <v>Pete Add On</v>
      </c>
      <c r="D1182" s="55">
        <v>1</v>
      </c>
      <c r="E1182" s="26"/>
    </row>
    <row r="1183" spans="1:5" ht="16.5" x14ac:dyDescent="0.2">
      <c r="A1183" s="22"/>
      <c r="B1183" s="55" t="s">
        <v>288</v>
      </c>
      <c r="C1183" s="56" t="str">
        <f>IFERROR(VLOOKUP(B1183,'Rekap Stock Barang'!$A$7:$G$153,2,0),"")</f>
        <v>Pete</v>
      </c>
      <c r="D1183" s="55">
        <v>1</v>
      </c>
      <c r="E1183" s="26"/>
    </row>
    <row r="1184" spans="1:5" ht="16.5" x14ac:dyDescent="0.2">
      <c r="A1184" s="22"/>
      <c r="B1184" s="55" t="s">
        <v>275</v>
      </c>
      <c r="C1184" s="56" t="str">
        <f>IFERROR(VLOOKUP(B1184,'Rekap Stock Barang'!$A$7:$G$153,2,0),"")</f>
        <v xml:space="preserve">Teri Pete </v>
      </c>
      <c r="D1184" s="55">
        <v>1</v>
      </c>
      <c r="E1184" s="26"/>
    </row>
    <row r="1185" spans="1:5" ht="16.5" x14ac:dyDescent="0.2">
      <c r="A1185" s="22"/>
      <c r="B1185" s="55" t="s">
        <v>279</v>
      </c>
      <c r="C1185" s="56" t="str">
        <f>IFERROR(VLOOKUP(B1185,'Rekap Stock Barang'!$A$7:$G$153,2,0),"")</f>
        <v>Lidah Goreng Segara</v>
      </c>
      <c r="D1185" s="55">
        <v>10</v>
      </c>
      <c r="E1185" s="26"/>
    </row>
    <row r="1186" spans="1:5" ht="16.5" x14ac:dyDescent="0.2">
      <c r="A1186" s="22"/>
      <c r="B1186" s="55" t="s">
        <v>10</v>
      </c>
      <c r="C1186" s="56" t="str">
        <f>IFERROR(VLOOKUP(B1186,'Rekap Stock Barang'!$A$7:$G$153,2,0),"")</f>
        <v>Topping Mbakmoy</v>
      </c>
      <c r="D1186" s="55">
        <v>2</v>
      </c>
      <c r="E1186" s="26"/>
    </row>
    <row r="1187" spans="1:5" ht="16.5" x14ac:dyDescent="0.2">
      <c r="A1187" s="22"/>
      <c r="B1187" s="55" t="s">
        <v>276</v>
      </c>
      <c r="C1187" s="56" t="str">
        <f>IFERROR(VLOOKUP(B1187,'Rekap Stock Barang'!$A$7:$G$153,2,0),"")</f>
        <v>Sambal Baby Cumi</v>
      </c>
      <c r="D1187" s="55">
        <v>14</v>
      </c>
      <c r="E1187" s="26"/>
    </row>
    <row r="1188" spans="1:5" ht="16.5" x14ac:dyDescent="0.2">
      <c r="A1188" s="22"/>
      <c r="B1188" s="57" t="s">
        <v>31</v>
      </c>
      <c r="C1188" s="58" t="str">
        <f>IFERROR(VLOOKUP(B1188,'Rekap Stock Barang'!$A$7:$G$153,2,0),"")</f>
        <v>Bagor</v>
      </c>
      <c r="D1188" s="57">
        <v>11</v>
      </c>
      <c r="E1188" s="26"/>
    </row>
    <row r="1189" spans="1:5" ht="16.5" x14ac:dyDescent="0.2">
      <c r="A1189" s="22"/>
      <c r="B1189" s="57" t="s">
        <v>178</v>
      </c>
      <c r="C1189" s="58" t="str">
        <f>IFERROR(VLOOKUP(B1189,'Rekap Stock Barang'!$A$7:$G$153,2,0),"")</f>
        <v xml:space="preserve">Cireng </v>
      </c>
      <c r="D1189" s="57">
        <v>1</v>
      </c>
      <c r="E1189" s="26"/>
    </row>
    <row r="1190" spans="1:5" ht="16.5" x14ac:dyDescent="0.2">
      <c r="A1190" s="22"/>
      <c r="B1190" s="57" t="s">
        <v>238</v>
      </c>
      <c r="C1190" s="58" t="str">
        <f>IFERROR(VLOOKUP(B1190,'Rekap Stock Barang'!$A$7:$G$153,2,0),"")</f>
        <v>Sayap Goreng</v>
      </c>
      <c r="D1190" s="57">
        <v>6</v>
      </c>
      <c r="E1190" s="26"/>
    </row>
    <row r="1191" spans="1:5" ht="16.5" x14ac:dyDescent="0.2">
      <c r="A1191" s="22"/>
      <c r="B1191" s="59" t="s">
        <v>175</v>
      </c>
      <c r="C1191" s="60" t="str">
        <f>IFERROR(VLOOKUP(B1191,'Rekap Stock Barang'!$A$7:$G$153,2,0),"")</f>
        <v>Mineral</v>
      </c>
      <c r="D1191" s="59">
        <v>41</v>
      </c>
      <c r="E1191" s="26"/>
    </row>
    <row r="1192" spans="1:5" ht="16.5" x14ac:dyDescent="0.2">
      <c r="A1192" s="22"/>
      <c r="B1192" s="59" t="s">
        <v>170</v>
      </c>
      <c r="C1192" s="60" t="str">
        <f>IFERROR(VLOOKUP(B1192,'Rekap Stock Barang'!$A$7:$G$153,2,0),"")</f>
        <v>Air Tahu</v>
      </c>
      <c r="D1192" s="59">
        <v>2</v>
      </c>
      <c r="E1192" s="26"/>
    </row>
    <row r="1193" spans="1:5" ht="16.5" x14ac:dyDescent="0.2">
      <c r="A1193" s="22"/>
      <c r="B1193" s="59" t="s">
        <v>229</v>
      </c>
      <c r="C1193" s="60" t="str">
        <f>IFERROR(VLOOKUP(B1193,'Rekap Stock Barang'!$A$7:$G$153,2,0),"")</f>
        <v xml:space="preserve">Manggo Juice </v>
      </c>
      <c r="D1193" s="59">
        <v>3</v>
      </c>
      <c r="E1193" s="26"/>
    </row>
    <row r="1194" spans="1:5" ht="16.5" x14ac:dyDescent="0.2">
      <c r="A1194" s="22"/>
      <c r="B1194" s="59" t="s">
        <v>226</v>
      </c>
      <c r="C1194" s="60" t="str">
        <f>IFERROR(VLOOKUP(B1194,'Rekap Stock Barang'!$A$7:$G$153,2,0),"")</f>
        <v>Mix Berries</v>
      </c>
      <c r="D1194" s="59">
        <v>6</v>
      </c>
      <c r="E1194" s="26"/>
    </row>
    <row r="1195" spans="1:5" ht="16.5" x14ac:dyDescent="0.2">
      <c r="A1195" s="22"/>
      <c r="B1195" s="70" t="s">
        <v>202</v>
      </c>
      <c r="C1195" s="60" t="str">
        <f>IFERROR(VLOOKUP(B1195,'Rekap Stock Barang'!$A$7:$G$153,2,0),"")</f>
        <v xml:space="preserve">Zoda Water </v>
      </c>
      <c r="D1195" s="70">
        <v>0</v>
      </c>
      <c r="E1195" s="26"/>
    </row>
    <row r="1196" spans="1:5" ht="17.25" thickBot="1" x14ac:dyDescent="0.25">
      <c r="A1196" s="61"/>
      <c r="B1196" s="62" t="s">
        <v>223</v>
      </c>
      <c r="C1196" s="63" t="str">
        <f>IFERROR(VLOOKUP(B1196,'Rekap Stock Barang'!$A$7:$G$153,2,0),"")</f>
        <v>Sirsak Juice</v>
      </c>
      <c r="D1196" s="62">
        <v>1</v>
      </c>
      <c r="E1196" s="26"/>
    </row>
    <row r="1197" spans="1:5" ht="16.5" x14ac:dyDescent="0.2">
      <c r="A1197" s="21">
        <v>46291</v>
      </c>
      <c r="B1197" s="49" t="s">
        <v>204</v>
      </c>
      <c r="C1197" s="40" t="str">
        <f>IFERROR(VLOOKUP(B1197,'Rekap Stock Barang'!$A$7:$G$153,2,0),"")</f>
        <v xml:space="preserve">Gula </v>
      </c>
      <c r="D1197" s="49">
        <v>1</v>
      </c>
      <c r="E1197" s="26"/>
    </row>
    <row r="1198" spans="1:5" ht="16.5" x14ac:dyDescent="0.2">
      <c r="A1198" s="22"/>
      <c r="B1198" s="49" t="s">
        <v>254</v>
      </c>
      <c r="C1198" s="40" t="str">
        <f>IFERROR(VLOOKUP(B1198,'Rekap Stock Barang'!$A$7:$G$153,2,0),"")</f>
        <v>Kunci Mas</v>
      </c>
      <c r="D1198" s="49">
        <v>1</v>
      </c>
      <c r="E1198" s="26"/>
    </row>
    <row r="1199" spans="1:5" ht="16.5" x14ac:dyDescent="0.2">
      <c r="A1199" s="22"/>
      <c r="B1199" s="49" t="s">
        <v>336</v>
      </c>
      <c r="C1199" s="40" t="str">
        <f>IFERROR(VLOOKUP(B1199,'Rekap Stock Barang'!$A$7:$G$153,2,0),"")</f>
        <v>Diamond Milk</v>
      </c>
      <c r="D1199" s="49">
        <v>1</v>
      </c>
      <c r="E1199" s="26"/>
    </row>
    <row r="1200" spans="1:5" ht="16.5" x14ac:dyDescent="0.2">
      <c r="A1200" s="22"/>
      <c r="B1200" s="49" t="s">
        <v>203</v>
      </c>
      <c r="C1200" s="40" t="str">
        <f>IFERROR(VLOOKUP(B1200,'Rekap Stock Barang'!$A$7:$G$153,2,0),"")</f>
        <v>Apple Juice Diamond</v>
      </c>
      <c r="D1200" s="49">
        <v>2</v>
      </c>
      <c r="E1200" s="26"/>
    </row>
    <row r="1201" spans="1:5" ht="16.5" x14ac:dyDescent="0.2">
      <c r="A1201" s="22"/>
      <c r="B1201" s="49" t="s">
        <v>215</v>
      </c>
      <c r="C1201" s="40" t="str">
        <f>IFERROR(VLOOKUP(B1201,'Rekap Stock Barang'!$A$7:$G$153,2,0),"")</f>
        <v>Cup Ice</v>
      </c>
      <c r="D1201" s="49">
        <v>1</v>
      </c>
      <c r="E1201" s="26"/>
    </row>
    <row r="1202" spans="1:5" ht="16.5" x14ac:dyDescent="0.2">
      <c r="A1202" s="22"/>
      <c r="B1202" s="49" t="s">
        <v>309</v>
      </c>
      <c r="C1202" s="40" t="str">
        <f>IFERROR(VLOOKUP(B1202,'Rekap Stock Barang'!$A$7:$G$153,2,0),"")</f>
        <v xml:space="preserve">Ekonomi </v>
      </c>
      <c r="D1202" s="49">
        <v>5</v>
      </c>
      <c r="E1202" s="26"/>
    </row>
    <row r="1203" spans="1:5" ht="16.5" x14ac:dyDescent="0.2">
      <c r="A1203" s="22"/>
      <c r="B1203" s="49" t="s">
        <v>184</v>
      </c>
      <c r="C1203" s="40" t="str">
        <f>IFERROR(VLOOKUP(B1203,'Rekap Stock Barang'!$A$7:$G$153,2,0),"")</f>
        <v xml:space="preserve">Tepung Maizena </v>
      </c>
      <c r="D1203" s="49">
        <v>1</v>
      </c>
      <c r="E1203" s="26"/>
    </row>
    <row r="1204" spans="1:5" ht="16.5" x14ac:dyDescent="0.2">
      <c r="A1204" s="22"/>
      <c r="B1204" s="49" t="s">
        <v>273</v>
      </c>
      <c r="C1204" s="40" t="str">
        <f>IFERROR(VLOOKUP(B1204,'Rekap Stock Barang'!$A$7:$G$153,2,0),"")</f>
        <v>Sambal Bawang</v>
      </c>
      <c r="D1204" s="49">
        <v>1</v>
      </c>
      <c r="E1204" s="26"/>
    </row>
    <row r="1205" spans="1:5" ht="16.5" x14ac:dyDescent="0.2">
      <c r="A1205" s="22"/>
      <c r="B1205" s="49" t="s">
        <v>181</v>
      </c>
      <c r="C1205" s="40" t="str">
        <f>IFERROR(VLOOKUP(B1205,'Rekap Stock Barang'!$A$7:$G$153,2,0),"")</f>
        <v xml:space="preserve">Sagu Mutiara </v>
      </c>
      <c r="D1205" s="49">
        <v>1</v>
      </c>
      <c r="E1205" s="26"/>
    </row>
    <row r="1206" spans="1:5" ht="16.5" x14ac:dyDescent="0.2">
      <c r="A1206" s="22"/>
      <c r="B1206" s="49" t="s">
        <v>201</v>
      </c>
      <c r="C1206" s="40" t="str">
        <f>IFERROR(VLOOKUP(B1206,'Rekap Stock Barang'!$A$7:$G$153,2,0),"")</f>
        <v xml:space="preserve">Soda Polaris </v>
      </c>
      <c r="D1206" s="49">
        <v>1</v>
      </c>
      <c r="E1206" s="26"/>
    </row>
    <row r="1207" spans="1:5" ht="16.5" x14ac:dyDescent="0.2">
      <c r="A1207" s="22"/>
      <c r="B1207" s="49" t="s">
        <v>217</v>
      </c>
      <c r="C1207" s="40" t="str">
        <f>IFERROR(VLOOKUP(B1207,'Rekap Stock Barang'!$A$7:$G$153,2,0),"")</f>
        <v>Thermal Paper</v>
      </c>
      <c r="D1207" s="49">
        <v>2</v>
      </c>
      <c r="E1207" s="26"/>
    </row>
    <row r="1208" spans="1:5" ht="16.5" x14ac:dyDescent="0.2">
      <c r="A1208" s="22"/>
      <c r="B1208" s="49" t="s">
        <v>188</v>
      </c>
      <c r="C1208" s="40" t="str">
        <f>IFERROR(VLOOKUP(B1208,'Rekap Stock Barang'!$A$7:$G$153,2,0),"")</f>
        <v xml:space="preserve">Mie Urai </v>
      </c>
      <c r="D1208" s="49">
        <v>2</v>
      </c>
      <c r="E1208" s="26"/>
    </row>
    <row r="1209" spans="1:5" ht="16.5" x14ac:dyDescent="0.2">
      <c r="A1209" s="22"/>
      <c r="B1209" s="49" t="s">
        <v>294</v>
      </c>
      <c r="C1209" s="40" t="str">
        <f>IFERROR(VLOOKUP(B1209,'Rekap Stock Barang'!$A$7:$G$153,2,0),"")</f>
        <v>Gorengan Mbakmoy</v>
      </c>
      <c r="D1209" s="49">
        <v>1</v>
      </c>
      <c r="E1209" s="26"/>
    </row>
    <row r="1210" spans="1:5" ht="16.5" x14ac:dyDescent="0.2">
      <c r="A1210" s="22"/>
      <c r="B1210" s="49" t="s">
        <v>283</v>
      </c>
      <c r="C1210" s="40" t="str">
        <f>IFERROR(VLOOKUP(B1210,'Rekap Stock Barang'!$A$7:$G$153,2,0),"")</f>
        <v>Sambal Petis</v>
      </c>
      <c r="D1210" s="49">
        <v>2</v>
      </c>
      <c r="E1210" s="26"/>
    </row>
    <row r="1211" spans="1:5" ht="16.5" x14ac:dyDescent="0.2">
      <c r="A1211" s="22"/>
      <c r="B1211" s="49" t="s">
        <v>292</v>
      </c>
      <c r="C1211" s="40" t="str">
        <f>IFERROR(VLOOKUP(B1211,'Rekap Stock Barang'!$A$7:$G$153,2,0),"")</f>
        <v>Sambal Kuning</v>
      </c>
      <c r="D1211" s="49">
        <v>1</v>
      </c>
      <c r="E1211" s="26"/>
    </row>
    <row r="1212" spans="1:5" ht="16.5" x14ac:dyDescent="0.2">
      <c r="A1212" s="22"/>
      <c r="B1212" s="49" t="s">
        <v>272</v>
      </c>
      <c r="C1212" s="40" t="str">
        <f>IFERROR(VLOOKUP(B1212,'Rekap Stock Barang'!$A$7:$G$153,2,0),"")</f>
        <v>Tepung Telur</v>
      </c>
      <c r="D1212" s="49">
        <v>3</v>
      </c>
      <c r="E1212" s="26"/>
    </row>
    <row r="1213" spans="1:5" ht="16.5" x14ac:dyDescent="0.2">
      <c r="A1213" s="22"/>
      <c r="B1213" s="49" t="s">
        <v>190</v>
      </c>
      <c r="C1213" s="40" t="str">
        <f>IFERROR(VLOOKUP(B1213,'Rekap Stock Barang'!$A$7:$G$153,2,0),"")</f>
        <v>Sun Cara 200Ml</v>
      </c>
      <c r="D1213" s="49">
        <v>1</v>
      </c>
      <c r="E1213" s="26"/>
    </row>
    <row r="1214" spans="1:5" ht="16.5" x14ac:dyDescent="0.2">
      <c r="A1214" s="22"/>
      <c r="B1214" s="49" t="s">
        <v>282</v>
      </c>
      <c r="C1214" s="40" t="str">
        <f>IFERROR(VLOOKUP(B1214,'Rekap Stock Barang'!$A$7:$G$153,2,0),"")</f>
        <v>Bumbu Kwetiau</v>
      </c>
      <c r="D1214" s="49">
        <v>1</v>
      </c>
      <c r="E1214" s="26"/>
    </row>
    <row r="1215" spans="1:5" ht="16.5" x14ac:dyDescent="0.2">
      <c r="A1215" s="22"/>
      <c r="B1215" s="49" t="s">
        <v>95</v>
      </c>
      <c r="C1215" s="40" t="str">
        <f>IFERROR(VLOOKUP(B1215,'Rekap Stock Barang'!$A$7:$G$153,2,0),"")</f>
        <v>Kopi</v>
      </c>
      <c r="D1215" s="49">
        <v>1</v>
      </c>
      <c r="E1215" s="26"/>
    </row>
    <row r="1216" spans="1:5" ht="16.5" x14ac:dyDescent="0.2">
      <c r="A1216" s="22"/>
      <c r="B1216" s="49" t="s">
        <v>162</v>
      </c>
      <c r="C1216" s="40" t="str">
        <f>IFERROR(VLOOKUP(B1216,'Rekap Stock Barang'!$A$7:$G$153,2,0),"")</f>
        <v>Take Away Bocx L</v>
      </c>
      <c r="D1216" s="49">
        <v>1</v>
      </c>
      <c r="E1216" s="26"/>
    </row>
    <row r="1217" spans="1:5" ht="16.5" x14ac:dyDescent="0.2">
      <c r="A1217" s="22"/>
      <c r="B1217" s="49" t="s">
        <v>296</v>
      </c>
      <c r="C1217" s="40" t="str">
        <f>IFERROR(VLOOKUP(B1217,'Rekap Stock Barang'!$A$7:$G$153,2,0),"")</f>
        <v xml:space="preserve">Bumbu Teri </v>
      </c>
      <c r="D1217" s="49">
        <v>1</v>
      </c>
      <c r="E1217" s="26"/>
    </row>
    <row r="1218" spans="1:5" ht="16.5" x14ac:dyDescent="0.2">
      <c r="A1218" s="22"/>
      <c r="B1218" s="49" t="s">
        <v>270</v>
      </c>
      <c r="C1218" s="40" t="str">
        <f>IFERROR(VLOOKUP(B1218,'Rekap Stock Barang'!$A$7:$G$153,2,0),"")</f>
        <v>Tissue Toilet</v>
      </c>
      <c r="D1218" s="49">
        <v>1</v>
      </c>
      <c r="E1218" s="26"/>
    </row>
    <row r="1219" spans="1:5" ht="16.5" x14ac:dyDescent="0.2">
      <c r="A1219" s="22"/>
      <c r="B1219" s="49" t="s">
        <v>299</v>
      </c>
      <c r="C1219" s="40" t="str">
        <f>IFERROR(VLOOKUP(B1219,'Rekap Stock Barang'!$A$7:$G$153,2,0),"")</f>
        <v>Plastik Bima uk24</v>
      </c>
      <c r="D1219" s="49">
        <v>1</v>
      </c>
      <c r="E1219" s="26"/>
    </row>
    <row r="1220" spans="1:5" ht="16.5" x14ac:dyDescent="0.2">
      <c r="A1220" s="22"/>
      <c r="B1220" s="49" t="s">
        <v>154</v>
      </c>
      <c r="C1220" s="40" t="str">
        <f>IFERROR(VLOOKUP(B1220,'Rekap Stock Barang'!$A$7:$G$153,2,0),"")</f>
        <v>Plastik Bima uk.15</v>
      </c>
      <c r="D1220" s="49">
        <v>1</v>
      </c>
      <c r="E1220" s="26"/>
    </row>
    <row r="1221" spans="1:5" ht="16.5" x14ac:dyDescent="0.2">
      <c r="A1221" s="22"/>
      <c r="B1221" s="53" t="s">
        <v>130</v>
      </c>
      <c r="C1221" s="54" t="str">
        <f>IFERROR(VLOOKUP(B1221,'Rekap Stock Barang'!$A$7:$G$153,2,0),"")</f>
        <v>Plastik Sampah S</v>
      </c>
      <c r="D1221" s="53">
        <v>3</v>
      </c>
      <c r="E1221" s="26"/>
    </row>
    <row r="1222" spans="1:5" ht="16.5" x14ac:dyDescent="0.2">
      <c r="A1222" s="22"/>
      <c r="B1222" s="53" t="s">
        <v>131</v>
      </c>
      <c r="C1222" s="54" t="str">
        <f>IFERROR(VLOOKUP(B1222,'Rekap Stock Barang'!$A$7:$G$153,2,0),"")</f>
        <v>Plastik Sampah M</v>
      </c>
      <c r="D1222" s="53">
        <v>2</v>
      </c>
      <c r="E1222" s="26"/>
    </row>
    <row r="1223" spans="1:5" ht="16.5" x14ac:dyDescent="0.2">
      <c r="A1223" s="22"/>
      <c r="B1223" s="53" t="s">
        <v>132</v>
      </c>
      <c r="C1223" s="54" t="str">
        <f>IFERROR(VLOOKUP(B1223,'Rekap Stock Barang'!$A$7:$G$153,2,0),"")</f>
        <v>Plastik Sampah L</v>
      </c>
      <c r="D1223" s="53">
        <v>1</v>
      </c>
      <c r="E1223" s="26"/>
    </row>
    <row r="1224" spans="1:5" ht="16.5" x14ac:dyDescent="0.2">
      <c r="A1224" s="22"/>
      <c r="B1224" s="53" t="s">
        <v>274</v>
      </c>
      <c r="C1224" s="54" t="str">
        <f>IFERROR(VLOOKUP(B1224,'Rekap Stock Barang'!$A$7:$G$153,2,0),"")</f>
        <v>Plastik Sampah XL</v>
      </c>
      <c r="D1224" s="53">
        <v>1</v>
      </c>
      <c r="E1224" s="26"/>
    </row>
    <row r="1225" spans="1:5" ht="16.5" x14ac:dyDescent="0.2">
      <c r="A1225" s="22"/>
      <c r="B1225" s="55" t="s">
        <v>236</v>
      </c>
      <c r="C1225" s="56" t="str">
        <f>IFERROR(VLOOKUP(B1225,'Rekap Stock Barang'!$A$7:$G$153,2,0),"")</f>
        <v xml:space="preserve">Paha Gurih Manis </v>
      </c>
      <c r="D1225" s="55">
        <v>8</v>
      </c>
      <c r="E1225" s="26"/>
    </row>
    <row r="1226" spans="1:5" ht="16.5" x14ac:dyDescent="0.2">
      <c r="A1226" s="22"/>
      <c r="B1226" s="55" t="s">
        <v>241</v>
      </c>
      <c r="C1226" s="56" t="str">
        <f>IFERROR(VLOOKUP(B1226,'Rekap Stock Barang'!$A$7:$G$153,2,0),"")</f>
        <v>Dada Gurih Manis</v>
      </c>
      <c r="D1226" s="55">
        <v>0</v>
      </c>
      <c r="E1226" s="26"/>
    </row>
    <row r="1227" spans="1:5" ht="16.5" x14ac:dyDescent="0.2">
      <c r="A1227" s="22"/>
      <c r="B1227" s="55" t="s">
        <v>16</v>
      </c>
      <c r="C1227" s="56" t="str">
        <f>IFERROR(VLOOKUP(B1227,'Rekap Stock Barang'!$A$7:$G$153,2,0),"")</f>
        <v>Paha</v>
      </c>
      <c r="D1227" s="55">
        <v>9</v>
      </c>
      <c r="E1227" s="26"/>
    </row>
    <row r="1228" spans="1:5" ht="16.5" x14ac:dyDescent="0.2">
      <c r="A1228" s="22"/>
      <c r="B1228" s="55" t="s">
        <v>19</v>
      </c>
      <c r="C1228" s="56" t="str">
        <f>IFERROR(VLOOKUP(B1228,'Rekap Stock Barang'!$A$7:$G$153,2,0),"")</f>
        <v>Dada</v>
      </c>
      <c r="D1228" s="55">
        <v>6</v>
      </c>
      <c r="E1228" s="26"/>
    </row>
    <row r="1229" spans="1:5" ht="16.5" x14ac:dyDescent="0.2">
      <c r="A1229" s="22"/>
      <c r="B1229" s="55" t="s">
        <v>8</v>
      </c>
      <c r="C1229" s="56" t="str">
        <f>IFERROR(VLOOKUP(B1229,'Rekap Stock Barang'!$A$7:$G$153,2,0),"")</f>
        <v xml:space="preserve">Ayam Suwir </v>
      </c>
      <c r="D1229" s="55">
        <v>10</v>
      </c>
      <c r="E1229" s="26"/>
    </row>
    <row r="1230" spans="1:5" ht="16.5" x14ac:dyDescent="0.2">
      <c r="A1230" s="22"/>
      <c r="B1230" s="55" t="s">
        <v>9</v>
      </c>
      <c r="C1230" s="56" t="str">
        <f>IFERROR(VLOOKUP(B1230,'Rekap Stock Barang'!$A$7:$G$153,2,0),"")</f>
        <v xml:space="preserve">Topping Kwetiau </v>
      </c>
      <c r="D1230" s="55">
        <v>6</v>
      </c>
      <c r="E1230" s="26"/>
    </row>
    <row r="1231" spans="1:5" ht="16.5" x14ac:dyDescent="0.2">
      <c r="A1231" s="22"/>
      <c r="B1231" s="55" t="s">
        <v>243</v>
      </c>
      <c r="C1231" s="56" t="str">
        <f>IFERROR(VLOOKUP(B1231,'Rekap Stock Barang'!$A$7:$G$153,2,0),"")</f>
        <v xml:space="preserve">Daging Slice </v>
      </c>
      <c r="D1231" s="55">
        <v>4</v>
      </c>
      <c r="E1231" s="26"/>
    </row>
    <row r="1232" spans="1:5" ht="16.5" x14ac:dyDescent="0.2">
      <c r="A1232" s="22"/>
      <c r="B1232" s="55" t="s">
        <v>14</v>
      </c>
      <c r="C1232" s="56" t="str">
        <f>IFERROR(VLOOKUP(B1232,'Rekap Stock Barang'!$A$7:$G$153,2,0),"")</f>
        <v>Ayam Jamur</v>
      </c>
      <c r="D1232" s="55">
        <v>5</v>
      </c>
      <c r="E1232" s="26"/>
    </row>
    <row r="1233" spans="1:5" ht="16.5" x14ac:dyDescent="0.2">
      <c r="A1233" s="22"/>
      <c r="B1233" s="55" t="s">
        <v>20</v>
      </c>
      <c r="C1233" s="56" t="str">
        <f>IFERROR(VLOOKUP(B1233,'Rekap Stock Barang'!$A$7:$G$153,2,0),"")</f>
        <v>Cumi</v>
      </c>
      <c r="D1233" s="55">
        <v>5</v>
      </c>
      <c r="E1233" s="26"/>
    </row>
    <row r="1234" spans="1:5" ht="16.5" x14ac:dyDescent="0.2">
      <c r="A1234" s="22"/>
      <c r="B1234" s="55" t="s">
        <v>38</v>
      </c>
      <c r="C1234" s="56" t="str">
        <f>IFERROR(VLOOKUP(B1234,'Rekap Stock Barang'!$A$7:$G$153,2,0),"")</f>
        <v>Daging Sambal HIjau</v>
      </c>
      <c r="D1234" s="55">
        <v>3</v>
      </c>
      <c r="E1234" s="26"/>
    </row>
    <row r="1235" spans="1:5" ht="16.5" x14ac:dyDescent="0.2">
      <c r="A1235" s="22"/>
      <c r="B1235" s="55" t="s">
        <v>22</v>
      </c>
      <c r="C1235" s="56" t="str">
        <f>IFERROR(VLOOKUP(B1235,'Rekap Stock Barang'!$A$7:$G$153,2,0),"")</f>
        <v>Kulit</v>
      </c>
      <c r="D1235" s="55">
        <v>1</v>
      </c>
      <c r="E1235" s="26"/>
    </row>
    <row r="1236" spans="1:5" ht="16.5" x14ac:dyDescent="0.2">
      <c r="A1236" s="22"/>
      <c r="B1236" s="55" t="s">
        <v>28</v>
      </c>
      <c r="C1236" s="56" t="str">
        <f>IFERROR(VLOOKUP(B1236,'Rekap Stock Barang'!$A$7:$G$153,2,0),"")</f>
        <v xml:space="preserve">Topping Nasi Gila </v>
      </c>
      <c r="D1236" s="55">
        <v>2</v>
      </c>
      <c r="E1236" s="26"/>
    </row>
    <row r="1237" spans="1:5" ht="16.5" x14ac:dyDescent="0.2">
      <c r="A1237" s="22"/>
      <c r="B1237" s="55" t="s">
        <v>24</v>
      </c>
      <c r="C1237" s="56" t="str">
        <f>IFERROR(VLOOKUP(B1237,'Rekap Stock Barang'!$A$7:$G$153,2,0),"")</f>
        <v xml:space="preserve">Lidah </v>
      </c>
      <c r="D1237" s="55">
        <v>5</v>
      </c>
      <c r="E1237" s="26"/>
    </row>
    <row r="1238" spans="1:5" ht="16.5" x14ac:dyDescent="0.2">
      <c r="A1238" s="22"/>
      <c r="B1238" s="55" t="s">
        <v>335</v>
      </c>
      <c r="C1238" s="56" t="str">
        <f>IFERROR(VLOOKUP(B1238,'Rekap Stock Barang'!$A$7:$G$153,2,0),"")</f>
        <v>Pete Add On</v>
      </c>
      <c r="D1238" s="55">
        <v>0</v>
      </c>
      <c r="E1238" s="26"/>
    </row>
    <row r="1239" spans="1:5" ht="16.5" x14ac:dyDescent="0.2">
      <c r="A1239" s="22"/>
      <c r="B1239" s="55" t="s">
        <v>288</v>
      </c>
      <c r="C1239" s="56" t="str">
        <f>IFERROR(VLOOKUP(B1239,'Rekap Stock Barang'!$A$7:$G$153,2,0),"")</f>
        <v>Pete</v>
      </c>
      <c r="D1239" s="55">
        <v>0</v>
      </c>
      <c r="E1239" s="26"/>
    </row>
    <row r="1240" spans="1:5" ht="16.5" x14ac:dyDescent="0.2">
      <c r="A1240" s="22"/>
      <c r="B1240" s="55" t="s">
        <v>275</v>
      </c>
      <c r="C1240" s="56" t="str">
        <f>IFERROR(VLOOKUP(B1240,'Rekap Stock Barang'!$A$7:$G$153,2,0),"")</f>
        <v xml:space="preserve">Teri Pete </v>
      </c>
      <c r="D1240" s="55">
        <v>4</v>
      </c>
      <c r="E1240" s="26"/>
    </row>
    <row r="1241" spans="1:5" ht="16.5" x14ac:dyDescent="0.2">
      <c r="A1241" s="22"/>
      <c r="B1241" s="55" t="s">
        <v>279</v>
      </c>
      <c r="C1241" s="56" t="str">
        <f>IFERROR(VLOOKUP(B1241,'Rekap Stock Barang'!$A$7:$G$153,2,0),"")</f>
        <v>Lidah Goreng Segara</v>
      </c>
      <c r="D1241" s="55">
        <v>6</v>
      </c>
      <c r="E1241" s="26"/>
    </row>
    <row r="1242" spans="1:5" ht="16.5" x14ac:dyDescent="0.2">
      <c r="A1242" s="22"/>
      <c r="B1242" s="55" t="s">
        <v>10</v>
      </c>
      <c r="C1242" s="56" t="str">
        <f>IFERROR(VLOOKUP(B1242,'Rekap Stock Barang'!$A$7:$G$153,2,0),"")</f>
        <v>Topping Mbakmoy</v>
      </c>
      <c r="D1242" s="55">
        <v>5</v>
      </c>
      <c r="E1242" s="26"/>
    </row>
    <row r="1243" spans="1:5" ht="16.5" x14ac:dyDescent="0.2">
      <c r="A1243" s="22"/>
      <c r="B1243" s="55" t="s">
        <v>276</v>
      </c>
      <c r="C1243" s="56" t="str">
        <f>IFERROR(VLOOKUP(B1243,'Rekap Stock Barang'!$A$7:$G$153,2,0),"")</f>
        <v>Sambal Baby Cumi</v>
      </c>
      <c r="D1243" s="55">
        <v>6</v>
      </c>
      <c r="E1243" s="26"/>
    </row>
    <row r="1244" spans="1:5" ht="16.5" x14ac:dyDescent="0.2">
      <c r="A1244" s="22"/>
      <c r="B1244" s="57" t="s">
        <v>31</v>
      </c>
      <c r="C1244" s="58" t="str">
        <f>IFERROR(VLOOKUP(B1244,'Rekap Stock Barang'!$A$7:$G$153,2,0),"")</f>
        <v>Bagor</v>
      </c>
      <c r="D1244" s="57">
        <v>8</v>
      </c>
      <c r="E1244" s="26"/>
    </row>
    <row r="1245" spans="1:5" ht="16.5" x14ac:dyDescent="0.2">
      <c r="A1245" s="22"/>
      <c r="B1245" s="57" t="s">
        <v>178</v>
      </c>
      <c r="C1245" s="58" t="str">
        <f>IFERROR(VLOOKUP(B1245,'Rekap Stock Barang'!$A$7:$G$153,2,0),"")</f>
        <v xml:space="preserve">Cireng </v>
      </c>
      <c r="D1245" s="57">
        <v>0</v>
      </c>
      <c r="E1245" s="26"/>
    </row>
    <row r="1246" spans="1:5" ht="16.5" x14ac:dyDescent="0.2">
      <c r="A1246" s="22"/>
      <c r="B1246" s="57" t="s">
        <v>238</v>
      </c>
      <c r="C1246" s="58" t="str">
        <f>IFERROR(VLOOKUP(B1246,'Rekap Stock Barang'!$A$7:$G$153,2,0),"")</f>
        <v>Sayap Goreng</v>
      </c>
      <c r="D1246" s="57">
        <v>4</v>
      </c>
      <c r="E1246" s="26"/>
    </row>
    <row r="1247" spans="1:5" ht="16.5" x14ac:dyDescent="0.2">
      <c r="A1247" s="22"/>
      <c r="B1247" s="59" t="s">
        <v>175</v>
      </c>
      <c r="C1247" s="60" t="str">
        <f>IFERROR(VLOOKUP(B1247,'Rekap Stock Barang'!$A$7:$G$153,2,0),"")</f>
        <v>Mineral</v>
      </c>
      <c r="D1247" s="59">
        <v>29</v>
      </c>
      <c r="E1247" s="26"/>
    </row>
    <row r="1248" spans="1:5" ht="16.5" x14ac:dyDescent="0.2">
      <c r="A1248" s="22"/>
      <c r="B1248" s="59" t="s">
        <v>170</v>
      </c>
      <c r="C1248" s="60" t="str">
        <f>IFERROR(VLOOKUP(B1248,'Rekap Stock Barang'!$A$7:$G$153,2,0),"")</f>
        <v>Air Tahu</v>
      </c>
      <c r="D1248" s="59">
        <v>4</v>
      </c>
      <c r="E1248" s="26"/>
    </row>
    <row r="1249" spans="1:5" ht="16.5" x14ac:dyDescent="0.2">
      <c r="A1249" s="22"/>
      <c r="B1249" s="59" t="s">
        <v>229</v>
      </c>
      <c r="C1249" s="60" t="str">
        <f>IFERROR(VLOOKUP(B1249,'Rekap Stock Barang'!$A$7:$G$153,2,0),"")</f>
        <v xml:space="preserve">Manggo Juice </v>
      </c>
      <c r="D1249" s="59">
        <v>3</v>
      </c>
      <c r="E1249" s="26"/>
    </row>
    <row r="1250" spans="1:5" ht="16.5" x14ac:dyDescent="0.2">
      <c r="A1250" s="22"/>
      <c r="B1250" s="59" t="s">
        <v>226</v>
      </c>
      <c r="C1250" s="60" t="str">
        <f>IFERROR(VLOOKUP(B1250,'Rekap Stock Barang'!$A$7:$G$153,2,0),"")</f>
        <v>Mix Berries</v>
      </c>
      <c r="D1250" s="59">
        <v>5</v>
      </c>
      <c r="E1250" s="26"/>
    </row>
    <row r="1251" spans="1:5" ht="16.5" x14ac:dyDescent="0.2">
      <c r="A1251" s="22"/>
      <c r="B1251" s="70" t="s">
        <v>202</v>
      </c>
      <c r="C1251" s="60" t="str">
        <f>IFERROR(VLOOKUP(B1251,'Rekap Stock Barang'!$A$7:$G$153,2,0),"")</f>
        <v xml:space="preserve">Zoda Water </v>
      </c>
      <c r="D1251" s="70">
        <v>0</v>
      </c>
      <c r="E1251" s="26"/>
    </row>
    <row r="1252" spans="1:5" ht="17.25" thickBot="1" x14ac:dyDescent="0.25">
      <c r="A1252" s="61"/>
      <c r="B1252" s="62" t="s">
        <v>223</v>
      </c>
      <c r="C1252" s="63" t="str">
        <f>IFERROR(VLOOKUP(B1252,'Rekap Stock Barang'!$A$7:$G$153,2,0),"")</f>
        <v>Sirsak Juice</v>
      </c>
      <c r="D1252" s="62">
        <v>1</v>
      </c>
      <c r="E1252" s="26"/>
    </row>
    <row r="1253" spans="1:5" ht="16.5" x14ac:dyDescent="0.2">
      <c r="A1253" s="21">
        <v>46292</v>
      </c>
      <c r="B1253" s="49" t="s">
        <v>201</v>
      </c>
      <c r="C1253" s="40" t="str">
        <f>IFERROR(VLOOKUP(B1253,'Rekap Stock Barang'!$A$7:$G$153,2,0),"")</f>
        <v xml:space="preserve">Soda Polaris </v>
      </c>
      <c r="D1253" s="49">
        <v>3</v>
      </c>
      <c r="E1253" s="26"/>
    </row>
    <row r="1254" spans="1:5" ht="16.5" x14ac:dyDescent="0.2">
      <c r="A1254" s="22"/>
      <c r="B1254" s="49" t="s">
        <v>164</v>
      </c>
      <c r="C1254" s="40" t="str">
        <f>IFERROR(VLOOKUP(B1254,'Rekap Stock Barang'!$A$7:$G$153,2,0),"")</f>
        <v xml:space="preserve">Ekonomi </v>
      </c>
      <c r="D1254" s="49">
        <v>4</v>
      </c>
      <c r="E1254" s="26"/>
    </row>
    <row r="1255" spans="1:5" ht="16.5" x14ac:dyDescent="0.2">
      <c r="A1255" s="22"/>
      <c r="B1255" s="49" t="s">
        <v>266</v>
      </c>
      <c r="C1255" s="40" t="str">
        <f>IFERROR(VLOOKUP(B1255,'Rekap Stock Barang'!$A$7:$G$153,2,0),"")</f>
        <v>Tepung Terigu</v>
      </c>
      <c r="D1255" s="49">
        <v>1</v>
      </c>
      <c r="E1255" s="26"/>
    </row>
    <row r="1256" spans="1:5" ht="16.5" x14ac:dyDescent="0.2">
      <c r="A1256" s="22"/>
      <c r="B1256" s="49" t="s">
        <v>158</v>
      </c>
      <c r="C1256" s="40" t="str">
        <f>IFERROR(VLOOKUP(B1256,'Rekap Stock Barang'!$A$7:$G$153,2,0),"")</f>
        <v>Take Away Box S</v>
      </c>
      <c r="D1256" s="49">
        <v>1</v>
      </c>
      <c r="E1256" s="26"/>
    </row>
    <row r="1257" spans="1:5" ht="16.5" x14ac:dyDescent="0.2">
      <c r="A1257" s="22"/>
      <c r="B1257" s="49" t="s">
        <v>290</v>
      </c>
      <c r="C1257" s="40" t="str">
        <f>IFERROR(VLOOKUP(B1257,'Rekap Stock Barang'!$A$7:$G$153,2,0),"")</f>
        <v>Bumbu Serundeng</v>
      </c>
      <c r="D1257" s="49">
        <v>3</v>
      </c>
      <c r="E1257" s="26"/>
    </row>
    <row r="1258" spans="1:5" ht="16.5" x14ac:dyDescent="0.2">
      <c r="A1258" s="22"/>
      <c r="B1258" s="49" t="s">
        <v>273</v>
      </c>
      <c r="C1258" s="40" t="str">
        <f>IFERROR(VLOOKUP(B1258,'Rekap Stock Barang'!$A$7:$G$153,2,0),"")</f>
        <v>Sambal Bawang</v>
      </c>
      <c r="D1258" s="49">
        <v>1</v>
      </c>
      <c r="E1258" s="26"/>
    </row>
    <row r="1259" spans="1:5" ht="16.5" x14ac:dyDescent="0.2">
      <c r="A1259" s="22"/>
      <c r="B1259" s="49" t="s">
        <v>194</v>
      </c>
      <c r="C1259" s="40" t="str">
        <f>IFERROR(VLOOKUP(B1259,'Rekap Stock Barang'!$A$7:$G$153,2,0),"")</f>
        <v xml:space="preserve">Cashew Milk </v>
      </c>
      <c r="D1259" s="49">
        <v>1</v>
      </c>
      <c r="E1259" s="26"/>
    </row>
    <row r="1260" spans="1:5" ht="16.5" x14ac:dyDescent="0.2">
      <c r="A1260" s="22"/>
      <c r="B1260" s="49" t="s">
        <v>293</v>
      </c>
      <c r="C1260" s="40" t="str">
        <f>IFERROR(VLOOKUP(B1260,'Rekap Stock Barang'!$A$7:$G$153,2,0),"")</f>
        <v>Susu Kental Manis Carnation</v>
      </c>
      <c r="D1260" s="49">
        <v>1</v>
      </c>
      <c r="E1260" s="26"/>
    </row>
    <row r="1261" spans="1:5" ht="16.5" x14ac:dyDescent="0.2">
      <c r="A1261" s="22"/>
      <c r="B1261" s="49" t="s">
        <v>189</v>
      </c>
      <c r="C1261" s="40" t="str">
        <f>IFERROR(VLOOKUP(B1261,'Rekap Stock Barang'!$A$7:$G$153,2,0),"")</f>
        <v xml:space="preserve">Susu Evaporasi </v>
      </c>
      <c r="D1261" s="49">
        <v>1</v>
      </c>
      <c r="E1261" s="26"/>
    </row>
    <row r="1262" spans="1:5" ht="16.5" x14ac:dyDescent="0.2">
      <c r="A1262" s="22"/>
      <c r="B1262" s="49" t="s">
        <v>192</v>
      </c>
      <c r="C1262" s="40" t="str">
        <f>IFERROR(VLOOKUP(B1262,'Rekap Stock Barang'!$A$7:$G$153,2,0),"")</f>
        <v xml:space="preserve">Max Creamer </v>
      </c>
      <c r="D1262" s="49">
        <v>1</v>
      </c>
      <c r="E1262" s="26"/>
    </row>
    <row r="1263" spans="1:5" ht="16.5" x14ac:dyDescent="0.2">
      <c r="A1263" s="22"/>
      <c r="B1263" s="49" t="s">
        <v>204</v>
      </c>
      <c r="C1263" s="40" t="str">
        <f>IFERROR(VLOOKUP(B1263,'Rekap Stock Barang'!$A$7:$G$153,2,0),"")</f>
        <v xml:space="preserve">Gula </v>
      </c>
      <c r="D1263" s="49">
        <v>1</v>
      </c>
      <c r="E1263" s="26"/>
    </row>
    <row r="1264" spans="1:5" ht="16.5" x14ac:dyDescent="0.2">
      <c r="A1264" s="22"/>
      <c r="B1264" s="49" t="s">
        <v>210</v>
      </c>
      <c r="C1264" s="40" t="str">
        <f>IFERROR(VLOOKUP(B1264,'Rekap Stock Barang'!$A$7:$G$153,2,0),"")</f>
        <v>Nata Decoco</v>
      </c>
      <c r="D1264" s="49">
        <v>1</v>
      </c>
      <c r="E1264" s="26"/>
    </row>
    <row r="1265" spans="1:5" ht="16.5" x14ac:dyDescent="0.2">
      <c r="A1265" s="22"/>
      <c r="B1265" s="49" t="s">
        <v>292</v>
      </c>
      <c r="C1265" s="40" t="str">
        <f>IFERROR(VLOOKUP(B1265,'Rekap Stock Barang'!$A$7:$G$153,2,0),"")</f>
        <v>Sambal Kuning</v>
      </c>
      <c r="D1265" s="49">
        <v>1</v>
      </c>
      <c r="E1265" s="26"/>
    </row>
    <row r="1266" spans="1:5" ht="16.5" x14ac:dyDescent="0.2">
      <c r="A1266" s="22"/>
      <c r="B1266" s="49" t="s">
        <v>338</v>
      </c>
      <c r="C1266" s="40" t="str">
        <f>IFERROR(VLOOKUP(B1266,'Rekap Stock Barang'!$A$7:$G$153,2,0),"")</f>
        <v xml:space="preserve">Bumbu Gule </v>
      </c>
      <c r="D1266" s="49">
        <v>15</v>
      </c>
      <c r="E1266" s="26"/>
    </row>
    <row r="1267" spans="1:5" ht="16.5" x14ac:dyDescent="0.2">
      <c r="A1267" s="22"/>
      <c r="B1267" s="49" t="s">
        <v>280</v>
      </c>
      <c r="C1267" s="40" t="str">
        <f>IFERROR(VLOOKUP(B1267,'Rekap Stock Barang'!$A$7:$G$153,2,0),"")</f>
        <v xml:space="preserve">Bumbu Racik </v>
      </c>
      <c r="D1267" s="49">
        <v>11</v>
      </c>
      <c r="E1267" s="26"/>
    </row>
    <row r="1268" spans="1:5" ht="16.5" x14ac:dyDescent="0.2">
      <c r="A1268" s="22"/>
      <c r="B1268" s="49" t="s">
        <v>337</v>
      </c>
      <c r="C1268" s="40" t="str">
        <f>IFERROR(VLOOKUP(B1268,'Rekap Stock Barang'!$A$7:$G$153,2,0),"")</f>
        <v>Gorengan Mbakmoy</v>
      </c>
      <c r="D1268" s="49">
        <v>1</v>
      </c>
      <c r="E1268" s="26"/>
    </row>
    <row r="1269" spans="1:5" ht="16.5" x14ac:dyDescent="0.2">
      <c r="A1269" s="22"/>
      <c r="B1269" s="49" t="s">
        <v>301</v>
      </c>
      <c r="C1269" s="40" t="str">
        <f>IFERROR(VLOOKUP(B1269,'Rekap Stock Barang'!$A$7:$G$153,2,0),"")</f>
        <v>Cup Sambal</v>
      </c>
      <c r="D1269" s="49">
        <v>1</v>
      </c>
      <c r="E1269" s="26"/>
    </row>
    <row r="1270" spans="1:5" ht="16.5" x14ac:dyDescent="0.2">
      <c r="A1270" s="22"/>
      <c r="B1270" s="49" t="s">
        <v>270</v>
      </c>
      <c r="C1270" s="40" t="str">
        <f>IFERROR(VLOOKUP(B1270,'Rekap Stock Barang'!$A$7:$G$153,2,0),"")</f>
        <v>Tissue Toilet</v>
      </c>
      <c r="D1270" s="49">
        <v>1</v>
      </c>
      <c r="E1270" s="26"/>
    </row>
    <row r="1271" spans="1:5" ht="16.5" x14ac:dyDescent="0.2">
      <c r="A1271" s="22"/>
      <c r="B1271" s="49" t="s">
        <v>148</v>
      </c>
      <c r="C1271" s="40" t="str">
        <f>IFERROR(VLOOKUP(B1271,'Rekap Stock Barang'!$A$7:$G$153,2,0),"")</f>
        <v>Tissue Meja</v>
      </c>
      <c r="D1271" s="49">
        <v>1</v>
      </c>
      <c r="E1271" s="26"/>
    </row>
    <row r="1272" spans="1:5" ht="16.5" x14ac:dyDescent="0.2">
      <c r="A1272" s="22"/>
      <c r="B1272" s="53" t="s">
        <v>130</v>
      </c>
      <c r="C1272" s="54" t="str">
        <f>IFERROR(VLOOKUP(B1272,'Rekap Stock Barang'!$A$7:$G$153,2,0),"")</f>
        <v>Plastik Sampah S</v>
      </c>
      <c r="D1272" s="53">
        <v>4</v>
      </c>
      <c r="E1272" s="26"/>
    </row>
    <row r="1273" spans="1:5" ht="16.5" x14ac:dyDescent="0.2">
      <c r="A1273" s="22"/>
      <c r="B1273" s="53" t="s">
        <v>131</v>
      </c>
      <c r="C1273" s="54" t="str">
        <f>IFERROR(VLOOKUP(B1273,'Rekap Stock Barang'!$A$7:$G$153,2,0),"")</f>
        <v>Plastik Sampah M</v>
      </c>
      <c r="D1273" s="53">
        <v>2</v>
      </c>
      <c r="E1273" s="26"/>
    </row>
    <row r="1274" spans="1:5" ht="16.5" x14ac:dyDescent="0.2">
      <c r="A1274" s="22"/>
      <c r="B1274" s="53" t="s">
        <v>132</v>
      </c>
      <c r="C1274" s="54" t="str">
        <f>IFERROR(VLOOKUP(B1274,'Rekap Stock Barang'!$A$7:$G$153,2,0),"")</f>
        <v>Plastik Sampah L</v>
      </c>
      <c r="D1274" s="53">
        <v>1</v>
      </c>
      <c r="E1274" s="26"/>
    </row>
    <row r="1275" spans="1:5" ht="16.5" x14ac:dyDescent="0.2">
      <c r="A1275" s="22"/>
      <c r="B1275" s="53" t="s">
        <v>274</v>
      </c>
      <c r="C1275" s="54" t="str">
        <f>IFERROR(VLOOKUP(B1275,'Rekap Stock Barang'!$A$7:$G$153,2,0),"")</f>
        <v>Plastik Sampah XL</v>
      </c>
      <c r="D1275" s="53">
        <v>2</v>
      </c>
      <c r="E1275" s="26"/>
    </row>
    <row r="1276" spans="1:5" ht="16.5" x14ac:dyDescent="0.2">
      <c r="A1276" s="22"/>
      <c r="B1276" s="55" t="s">
        <v>236</v>
      </c>
      <c r="C1276" s="56" t="str">
        <f>IFERROR(VLOOKUP(B1276,'Rekap Stock Barang'!$A$7:$G$153,2,0),"")</f>
        <v xml:space="preserve">Paha Gurih Manis </v>
      </c>
      <c r="D1276" s="55">
        <v>4</v>
      </c>
      <c r="E1276" s="26"/>
    </row>
    <row r="1277" spans="1:5" ht="16.5" x14ac:dyDescent="0.2">
      <c r="A1277" s="22"/>
      <c r="B1277" s="55" t="s">
        <v>241</v>
      </c>
      <c r="C1277" s="56" t="str">
        <f>IFERROR(VLOOKUP(B1277,'Rekap Stock Barang'!$A$7:$G$153,2,0),"")</f>
        <v>Dada Gurih Manis</v>
      </c>
      <c r="D1277" s="55">
        <v>3</v>
      </c>
      <c r="E1277" s="26"/>
    </row>
    <row r="1278" spans="1:5" ht="16.5" x14ac:dyDescent="0.2">
      <c r="A1278" s="22"/>
      <c r="B1278" s="55" t="s">
        <v>16</v>
      </c>
      <c r="C1278" s="56" t="str">
        <f>IFERROR(VLOOKUP(B1278,'Rekap Stock Barang'!$A$7:$G$153,2,0),"")</f>
        <v>Paha</v>
      </c>
      <c r="D1278" s="55">
        <v>12</v>
      </c>
      <c r="E1278" s="26"/>
    </row>
    <row r="1279" spans="1:5" ht="16.5" x14ac:dyDescent="0.2">
      <c r="A1279" s="22"/>
      <c r="B1279" s="55" t="s">
        <v>19</v>
      </c>
      <c r="C1279" s="56" t="str">
        <f>IFERROR(VLOOKUP(B1279,'Rekap Stock Barang'!$A$7:$G$153,2,0),"")</f>
        <v>Dada</v>
      </c>
      <c r="D1279" s="55">
        <v>17</v>
      </c>
      <c r="E1279" s="26"/>
    </row>
    <row r="1280" spans="1:5" ht="16.5" x14ac:dyDescent="0.2">
      <c r="A1280" s="22"/>
      <c r="B1280" s="55" t="s">
        <v>8</v>
      </c>
      <c r="C1280" s="56" t="str">
        <f>IFERROR(VLOOKUP(B1280,'Rekap Stock Barang'!$A$7:$G$153,2,0),"")</f>
        <v xml:space="preserve">Ayam Suwir </v>
      </c>
      <c r="D1280" s="55">
        <v>22</v>
      </c>
      <c r="E1280" s="26"/>
    </row>
    <row r="1281" spans="1:5" ht="16.5" x14ac:dyDescent="0.2">
      <c r="A1281" s="22"/>
      <c r="B1281" s="55" t="s">
        <v>9</v>
      </c>
      <c r="C1281" s="56" t="str">
        <f>IFERROR(VLOOKUP(B1281,'Rekap Stock Barang'!$A$7:$G$153,2,0),"")</f>
        <v xml:space="preserve">Topping Kwetiau </v>
      </c>
      <c r="D1281" s="55">
        <v>20</v>
      </c>
      <c r="E1281" s="26"/>
    </row>
    <row r="1282" spans="1:5" ht="16.5" x14ac:dyDescent="0.2">
      <c r="A1282" s="22"/>
      <c r="B1282" s="55" t="s">
        <v>243</v>
      </c>
      <c r="C1282" s="56" t="str">
        <f>IFERROR(VLOOKUP(B1282,'Rekap Stock Barang'!$A$7:$G$153,2,0),"")</f>
        <v xml:space="preserve">Daging Slice </v>
      </c>
      <c r="D1282" s="55">
        <v>0</v>
      </c>
      <c r="E1282" s="26"/>
    </row>
    <row r="1283" spans="1:5" ht="16.5" x14ac:dyDescent="0.2">
      <c r="A1283" s="22"/>
      <c r="B1283" s="55" t="s">
        <v>14</v>
      </c>
      <c r="C1283" s="56" t="str">
        <f>IFERROR(VLOOKUP(B1283,'Rekap Stock Barang'!$A$7:$G$153,2,0),"")</f>
        <v>Ayam Jamur</v>
      </c>
      <c r="D1283" s="55">
        <v>9</v>
      </c>
      <c r="E1283" s="26"/>
    </row>
    <row r="1284" spans="1:5" ht="16.5" x14ac:dyDescent="0.2">
      <c r="A1284" s="22"/>
      <c r="B1284" s="55" t="s">
        <v>20</v>
      </c>
      <c r="C1284" s="56" t="str">
        <f>IFERROR(VLOOKUP(B1284,'Rekap Stock Barang'!$A$7:$G$153,2,0),"")</f>
        <v>Cumi</v>
      </c>
      <c r="D1284" s="55">
        <v>13</v>
      </c>
      <c r="E1284" s="26"/>
    </row>
    <row r="1285" spans="1:5" ht="16.5" x14ac:dyDescent="0.2">
      <c r="A1285" s="22"/>
      <c r="B1285" s="55" t="s">
        <v>38</v>
      </c>
      <c r="C1285" s="56" t="str">
        <f>IFERROR(VLOOKUP(B1285,'Rekap Stock Barang'!$A$7:$G$153,2,0),"")</f>
        <v>Daging Sambal HIjau</v>
      </c>
      <c r="D1285" s="55">
        <v>4</v>
      </c>
      <c r="E1285" s="26"/>
    </row>
    <row r="1286" spans="1:5" ht="16.5" x14ac:dyDescent="0.2">
      <c r="A1286" s="22"/>
      <c r="B1286" s="55" t="s">
        <v>22</v>
      </c>
      <c r="C1286" s="56" t="str">
        <f>IFERROR(VLOOKUP(B1286,'Rekap Stock Barang'!$A$7:$G$153,2,0),"")</f>
        <v>Kulit</v>
      </c>
      <c r="D1286" s="55">
        <v>8</v>
      </c>
      <c r="E1286" s="26"/>
    </row>
    <row r="1287" spans="1:5" ht="16.5" x14ac:dyDescent="0.2">
      <c r="A1287" s="22"/>
      <c r="B1287" s="55" t="s">
        <v>28</v>
      </c>
      <c r="C1287" s="56" t="str">
        <f>IFERROR(VLOOKUP(B1287,'Rekap Stock Barang'!$A$7:$G$153,2,0),"")</f>
        <v xml:space="preserve">Topping Nasi Gila </v>
      </c>
      <c r="D1287" s="55">
        <v>3</v>
      </c>
      <c r="E1287" s="26"/>
    </row>
    <row r="1288" spans="1:5" ht="16.5" x14ac:dyDescent="0.2">
      <c r="A1288" s="22"/>
      <c r="B1288" s="55" t="s">
        <v>24</v>
      </c>
      <c r="C1288" s="56" t="str">
        <f>IFERROR(VLOOKUP(B1288,'Rekap Stock Barang'!$A$7:$G$153,2,0),"")</f>
        <v xml:space="preserve">Lidah </v>
      </c>
      <c r="D1288" s="55">
        <v>11</v>
      </c>
      <c r="E1288" s="26"/>
    </row>
    <row r="1289" spans="1:5" ht="16.5" x14ac:dyDescent="0.2">
      <c r="A1289" s="22"/>
      <c r="B1289" s="55" t="s">
        <v>335</v>
      </c>
      <c r="C1289" s="56" t="str">
        <f>IFERROR(VLOOKUP(B1289,'Rekap Stock Barang'!$A$7:$G$153,2,0),"")</f>
        <v>Pete Add On</v>
      </c>
      <c r="D1289" s="55">
        <v>2</v>
      </c>
      <c r="E1289" s="26"/>
    </row>
    <row r="1290" spans="1:5" ht="16.5" x14ac:dyDescent="0.2">
      <c r="A1290" s="22"/>
      <c r="B1290" s="55" t="s">
        <v>288</v>
      </c>
      <c r="C1290" s="56" t="str">
        <f>IFERROR(VLOOKUP(B1290,'Rekap Stock Barang'!$A$7:$G$153,2,0),"")</f>
        <v>Pete</v>
      </c>
      <c r="D1290" s="55">
        <v>0</v>
      </c>
      <c r="E1290" s="26"/>
    </row>
    <row r="1291" spans="1:5" ht="16.5" x14ac:dyDescent="0.2">
      <c r="A1291" s="22"/>
      <c r="B1291" s="55" t="s">
        <v>275</v>
      </c>
      <c r="C1291" s="56" t="str">
        <f>IFERROR(VLOOKUP(B1291,'Rekap Stock Barang'!$A$7:$G$153,2,0),"")</f>
        <v xml:space="preserve">Teri Pete </v>
      </c>
      <c r="D1291" s="55">
        <v>3</v>
      </c>
      <c r="E1291" s="26"/>
    </row>
    <row r="1292" spans="1:5" ht="16.5" x14ac:dyDescent="0.2">
      <c r="A1292" s="22"/>
      <c r="B1292" s="55" t="s">
        <v>279</v>
      </c>
      <c r="C1292" s="56" t="str">
        <f>IFERROR(VLOOKUP(B1292,'Rekap Stock Barang'!$A$7:$G$153,2,0),"")</f>
        <v>Lidah Goreng Segara</v>
      </c>
      <c r="D1292" s="55">
        <v>9</v>
      </c>
      <c r="E1292" s="26"/>
    </row>
    <row r="1293" spans="1:5" ht="16.5" x14ac:dyDescent="0.2">
      <c r="A1293" s="22"/>
      <c r="B1293" s="55" t="s">
        <v>10</v>
      </c>
      <c r="C1293" s="56" t="str">
        <f>IFERROR(VLOOKUP(B1293,'Rekap Stock Barang'!$A$7:$G$153,2,0),"")</f>
        <v>Topping Mbakmoy</v>
      </c>
      <c r="D1293" s="55">
        <v>6</v>
      </c>
      <c r="E1293" s="26"/>
    </row>
    <row r="1294" spans="1:5" ht="16.5" x14ac:dyDescent="0.2">
      <c r="A1294" s="22"/>
      <c r="B1294" s="55" t="s">
        <v>276</v>
      </c>
      <c r="C1294" s="56" t="str">
        <f>IFERROR(VLOOKUP(B1294,'Rekap Stock Barang'!$A$7:$G$153,2,0),"")</f>
        <v>Sambal Baby Cumi</v>
      </c>
      <c r="D1294" s="55">
        <v>10</v>
      </c>
      <c r="E1294" s="26"/>
    </row>
    <row r="1295" spans="1:5" ht="16.5" x14ac:dyDescent="0.2">
      <c r="A1295" s="22"/>
      <c r="B1295" s="57" t="s">
        <v>31</v>
      </c>
      <c r="C1295" s="58" t="str">
        <f>IFERROR(VLOOKUP(B1295,'Rekap Stock Barang'!$A$7:$G$153,2,0),"")</f>
        <v>Bagor</v>
      </c>
      <c r="D1295" s="57">
        <v>9</v>
      </c>
      <c r="E1295" s="26"/>
    </row>
    <row r="1296" spans="1:5" ht="16.5" x14ac:dyDescent="0.2">
      <c r="A1296" s="22"/>
      <c r="B1296" s="57" t="s">
        <v>178</v>
      </c>
      <c r="C1296" s="58" t="str">
        <f>IFERROR(VLOOKUP(B1296,'Rekap Stock Barang'!$A$7:$G$153,2,0),"")</f>
        <v xml:space="preserve">Cireng </v>
      </c>
      <c r="D1296" s="57">
        <v>1</v>
      </c>
      <c r="E1296" s="26"/>
    </row>
    <row r="1297" spans="1:5" ht="16.5" x14ac:dyDescent="0.2">
      <c r="A1297" s="22"/>
      <c r="B1297" s="57" t="s">
        <v>238</v>
      </c>
      <c r="C1297" s="58" t="str">
        <f>IFERROR(VLOOKUP(B1297,'Rekap Stock Barang'!$A$7:$G$153,2,0),"")</f>
        <v>Sayap Goreng</v>
      </c>
      <c r="D1297" s="57">
        <v>3</v>
      </c>
      <c r="E1297" s="26"/>
    </row>
    <row r="1298" spans="1:5" ht="16.5" x14ac:dyDescent="0.2">
      <c r="A1298" s="22"/>
      <c r="B1298" s="59" t="s">
        <v>175</v>
      </c>
      <c r="C1298" s="60" t="str">
        <f>IFERROR(VLOOKUP(B1298,'Rekap Stock Barang'!$A$7:$G$153,2,0),"")</f>
        <v>Mineral</v>
      </c>
      <c r="D1298" s="59">
        <v>49</v>
      </c>
      <c r="E1298" s="26"/>
    </row>
    <row r="1299" spans="1:5" ht="16.5" x14ac:dyDescent="0.2">
      <c r="A1299" s="22"/>
      <c r="B1299" s="59" t="s">
        <v>170</v>
      </c>
      <c r="C1299" s="60" t="str">
        <f>IFERROR(VLOOKUP(B1299,'Rekap Stock Barang'!$A$7:$G$153,2,0),"")</f>
        <v>Air Tahu</v>
      </c>
      <c r="D1299" s="59">
        <v>6</v>
      </c>
      <c r="E1299" s="26"/>
    </row>
    <row r="1300" spans="1:5" ht="16.5" x14ac:dyDescent="0.2">
      <c r="A1300" s="22"/>
      <c r="B1300" s="59" t="s">
        <v>229</v>
      </c>
      <c r="C1300" s="60" t="str">
        <f>IFERROR(VLOOKUP(B1300,'Rekap Stock Barang'!$A$7:$G$153,2,0),"")</f>
        <v xml:space="preserve">Manggo Juice </v>
      </c>
      <c r="D1300" s="59">
        <v>0</v>
      </c>
      <c r="E1300" s="26"/>
    </row>
    <row r="1301" spans="1:5" ht="16.5" x14ac:dyDescent="0.2">
      <c r="A1301" s="22"/>
      <c r="B1301" s="59" t="s">
        <v>226</v>
      </c>
      <c r="C1301" s="60" t="str">
        <f>IFERROR(VLOOKUP(B1301,'Rekap Stock Barang'!$A$7:$G$153,2,0),"")</f>
        <v>Mix Berries</v>
      </c>
      <c r="D1301" s="59">
        <v>4</v>
      </c>
      <c r="E1301" s="26"/>
    </row>
    <row r="1302" spans="1:5" ht="16.5" x14ac:dyDescent="0.2">
      <c r="A1302" s="22"/>
      <c r="B1302" s="70" t="s">
        <v>202</v>
      </c>
      <c r="C1302" s="60" t="str">
        <f>IFERROR(VLOOKUP(B1302,'Rekap Stock Barang'!$A$7:$G$153,2,0),"")</f>
        <v xml:space="preserve">Zoda Water </v>
      </c>
      <c r="D1302" s="70">
        <v>2</v>
      </c>
      <c r="E1302" s="26"/>
    </row>
    <row r="1303" spans="1:5" ht="17.25" thickBot="1" x14ac:dyDescent="0.25">
      <c r="A1303" s="61"/>
      <c r="B1303" s="62" t="s">
        <v>223</v>
      </c>
      <c r="C1303" s="63" t="str">
        <f>IFERROR(VLOOKUP(B1303,'Rekap Stock Barang'!$A$7:$G$153,2,0),"")</f>
        <v>Sirsak Juice</v>
      </c>
      <c r="D1303" s="62">
        <v>1</v>
      </c>
      <c r="E1303" s="26"/>
    </row>
    <row r="1304" spans="1:5" ht="16.5" x14ac:dyDescent="0.2">
      <c r="A1304" s="68">
        <v>46293</v>
      </c>
      <c r="B1304" s="22" t="s">
        <v>306</v>
      </c>
      <c r="C1304" s="40" t="str">
        <f>IFERROR(VLOOKUP(B1304,'Rekap Stock Barang'!$A$7:$G$153,2,0),"")</f>
        <v>Raja Rasa</v>
      </c>
      <c r="D1304" s="22">
        <v>1</v>
      </c>
      <c r="E1304" s="26"/>
    </row>
    <row r="1305" spans="1:5" ht="16.5" x14ac:dyDescent="0.2">
      <c r="A1305" s="22"/>
      <c r="B1305" s="22" t="s">
        <v>270</v>
      </c>
      <c r="C1305" s="40" t="str">
        <f>IFERROR(VLOOKUP(B1305,'Rekap Stock Barang'!$A$7:$G$153,2,0),"")</f>
        <v>Tissue Toilet</v>
      </c>
      <c r="D1305" s="22">
        <v>2</v>
      </c>
      <c r="E1305" s="26"/>
    </row>
    <row r="1306" spans="1:5" ht="16.5" x14ac:dyDescent="0.2">
      <c r="A1306" s="22"/>
      <c r="B1306" s="22" t="s">
        <v>164</v>
      </c>
      <c r="C1306" s="40" t="str">
        <f>IFERROR(VLOOKUP(B1306,'Rekap Stock Barang'!$A$7:$G$153,2,0),"")</f>
        <v xml:space="preserve">Ekonomi </v>
      </c>
      <c r="D1306" s="22">
        <v>5</v>
      </c>
      <c r="E1306" s="26"/>
    </row>
    <row r="1307" spans="1:5" ht="16.5" x14ac:dyDescent="0.2">
      <c r="A1307" s="22"/>
      <c r="B1307" s="22" t="s">
        <v>230</v>
      </c>
      <c r="C1307" s="40" t="str">
        <f>IFERROR(VLOOKUP(B1307,'Rekap Stock Barang'!$A$7:$G$153,2,0),"")</f>
        <v>Sumpit</v>
      </c>
      <c r="D1307" s="22">
        <v>1</v>
      </c>
      <c r="E1307" s="26"/>
    </row>
    <row r="1308" spans="1:5" ht="16.5" x14ac:dyDescent="0.2">
      <c r="A1308" s="22"/>
      <c r="B1308" s="49" t="s">
        <v>271</v>
      </c>
      <c r="C1308" s="40" t="str">
        <f>IFERROR(VLOOKUP(B1308,'Rekap Stock Barang'!$A$7:$G$153,2,0),"")</f>
        <v>Plastik Soup XS</v>
      </c>
      <c r="D1308" s="49">
        <v>1</v>
      </c>
      <c r="E1308" s="26"/>
    </row>
    <row r="1309" spans="1:5" ht="16.5" x14ac:dyDescent="0.2">
      <c r="A1309" s="22"/>
      <c r="B1309" s="49" t="s">
        <v>339</v>
      </c>
      <c r="C1309" s="40" t="str">
        <f>IFERROR(VLOOKUP(B1309,'Rekap Stock Barang'!$A$7:$G$153,2,0),"")</f>
        <v>Plastik Soup M</v>
      </c>
      <c r="D1309" s="49">
        <v>1</v>
      </c>
      <c r="E1309" s="26"/>
    </row>
    <row r="1310" spans="1:5" ht="16.5" x14ac:dyDescent="0.2">
      <c r="A1310" s="22"/>
      <c r="B1310" s="49" t="s">
        <v>248</v>
      </c>
      <c r="C1310" s="40" t="str">
        <f>IFERROR(VLOOKUP(B1310,'Rekap Stock Barang'!$A$7:$G$153,2,0),"")</f>
        <v>Saus Tomat</v>
      </c>
      <c r="D1310" s="49">
        <v>1</v>
      </c>
      <c r="E1310" s="26"/>
    </row>
    <row r="1311" spans="1:5" ht="16.5" x14ac:dyDescent="0.2">
      <c r="A1311" s="22"/>
      <c r="B1311" s="49" t="s">
        <v>340</v>
      </c>
      <c r="C1311" s="40" t="str">
        <f>IFERROR(VLOOKUP(B1311,'Rekap Stock Barang'!$A$7:$G$153,2,0),"")</f>
        <v xml:space="preserve">Saus Sambal </v>
      </c>
      <c r="D1311" s="49">
        <v>1</v>
      </c>
      <c r="E1311" s="26"/>
    </row>
    <row r="1312" spans="1:5" ht="16.5" x14ac:dyDescent="0.2">
      <c r="A1312" s="22"/>
      <c r="B1312" s="49" t="s">
        <v>290</v>
      </c>
      <c r="C1312" s="40" t="str">
        <f>IFERROR(VLOOKUP(B1312,'Rekap Stock Barang'!$A$7:$G$153,2,0),"")</f>
        <v>Bumbu Serundeng</v>
      </c>
      <c r="D1312" s="49">
        <v>3</v>
      </c>
      <c r="E1312" s="26"/>
    </row>
    <row r="1313" spans="1:5" ht="16.5" x14ac:dyDescent="0.2">
      <c r="A1313" s="22"/>
      <c r="B1313" s="49" t="s">
        <v>283</v>
      </c>
      <c r="C1313" s="40" t="str">
        <f>IFERROR(VLOOKUP(B1313,'Rekap Stock Barang'!$A$7:$G$153,2,0),"")</f>
        <v>Sambal Petis</v>
      </c>
      <c r="D1313" s="49">
        <v>1</v>
      </c>
      <c r="E1313" s="26"/>
    </row>
    <row r="1314" spans="1:5" ht="16.5" x14ac:dyDescent="0.2">
      <c r="A1314" s="22"/>
      <c r="B1314" s="49" t="s">
        <v>273</v>
      </c>
      <c r="C1314" s="40" t="str">
        <f>IFERROR(VLOOKUP(B1314,'Rekap Stock Barang'!$A$7:$G$153,2,0),"")</f>
        <v>Sambal Bawang</v>
      </c>
      <c r="D1314" s="49">
        <v>1</v>
      </c>
      <c r="E1314" s="26"/>
    </row>
    <row r="1315" spans="1:5" ht="16.5" x14ac:dyDescent="0.2">
      <c r="A1315" s="22"/>
      <c r="B1315" s="49" t="s">
        <v>201</v>
      </c>
      <c r="C1315" s="40" t="str">
        <f>IFERROR(VLOOKUP(B1315,'Rekap Stock Barang'!$A$7:$G$153,2,0),"")</f>
        <v xml:space="preserve">Soda Polaris </v>
      </c>
      <c r="D1315" s="49">
        <v>1</v>
      </c>
      <c r="E1315" s="26"/>
    </row>
    <row r="1316" spans="1:5" ht="16.5" x14ac:dyDescent="0.2">
      <c r="A1316" s="22"/>
      <c r="B1316" s="49" t="s">
        <v>281</v>
      </c>
      <c r="C1316" s="40" t="str">
        <f>IFERROR(VLOOKUP(B1316,'Rekap Stock Barang'!$A$7:$G$153,2,0),"")</f>
        <v>Diamond Milk</v>
      </c>
      <c r="D1316" s="49">
        <v>1</v>
      </c>
      <c r="E1316" s="26"/>
    </row>
    <row r="1317" spans="1:5" ht="16.5" x14ac:dyDescent="0.2">
      <c r="A1317" s="22"/>
      <c r="B1317" s="49" t="s">
        <v>280</v>
      </c>
      <c r="C1317" s="40" t="str">
        <f>IFERROR(VLOOKUP(B1317,'Rekap Stock Barang'!$A$7:$G$153,2,0),"")</f>
        <v xml:space="preserve">Bumbu Racik </v>
      </c>
      <c r="D1317" s="49">
        <v>3</v>
      </c>
      <c r="E1317" s="26"/>
    </row>
    <row r="1318" spans="1:5" ht="16.5" x14ac:dyDescent="0.2">
      <c r="A1318" s="22"/>
      <c r="B1318" s="49" t="s">
        <v>292</v>
      </c>
      <c r="C1318" s="40" t="str">
        <f>IFERROR(VLOOKUP(B1318,'Rekap Stock Barang'!$A$7:$G$153,2,0),"")</f>
        <v>Sambal Kuning</v>
      </c>
      <c r="D1318" s="49">
        <v>1</v>
      </c>
      <c r="E1318" s="26"/>
    </row>
    <row r="1319" spans="1:5" ht="16.5" x14ac:dyDescent="0.2">
      <c r="A1319" s="22"/>
      <c r="B1319" s="49" t="s">
        <v>195</v>
      </c>
      <c r="C1319" s="40" t="str">
        <f>IFERROR(VLOOKUP(B1319,'Rekap Stock Barang'!$A$7:$G$153,2,0),"")</f>
        <v xml:space="preserve">Keju </v>
      </c>
      <c r="D1319" s="49">
        <v>1</v>
      </c>
      <c r="E1319" s="26"/>
    </row>
    <row r="1320" spans="1:5" ht="16.5" x14ac:dyDescent="0.2">
      <c r="A1320" s="22"/>
      <c r="B1320" s="49" t="s">
        <v>272</v>
      </c>
      <c r="C1320" s="40" t="str">
        <f>IFERROR(VLOOKUP(B1320,'Rekap Stock Barang'!$A$7:$G$153,2,0),"")</f>
        <v>Tepung Telur</v>
      </c>
      <c r="D1320" s="49">
        <v>3</v>
      </c>
      <c r="E1320" s="26"/>
    </row>
    <row r="1321" spans="1:5" ht="16.5" x14ac:dyDescent="0.2">
      <c r="A1321" s="22"/>
      <c r="B1321" s="49" t="s">
        <v>296</v>
      </c>
      <c r="C1321" s="40" t="str">
        <f>IFERROR(VLOOKUP(B1321,'Rekap Stock Barang'!$A$7:$G$153,2,0),"")</f>
        <v xml:space="preserve">Bumbu Teri </v>
      </c>
      <c r="D1321" s="49">
        <v>1</v>
      </c>
      <c r="E1321" s="26"/>
    </row>
    <row r="1322" spans="1:5" ht="16.5" x14ac:dyDescent="0.2">
      <c r="A1322" s="22"/>
      <c r="B1322" s="49" t="s">
        <v>308</v>
      </c>
      <c r="C1322" s="40" t="str">
        <f>IFERROR(VLOOKUP(B1322,'Rekap Stock Barang'!$A$7:$G$153,2,0),"")</f>
        <v xml:space="preserve">Bumbu Lidah </v>
      </c>
      <c r="D1322" s="49">
        <v>1</v>
      </c>
      <c r="E1322" s="26"/>
    </row>
    <row r="1323" spans="1:5" ht="16.5" x14ac:dyDescent="0.2">
      <c r="A1323" s="22"/>
      <c r="B1323" s="53" t="s">
        <v>130</v>
      </c>
      <c r="C1323" s="54" t="str">
        <f>IFERROR(VLOOKUP(B1323,'Rekap Stock Barang'!$A$7:$G$153,2,0),"")</f>
        <v>Plastik Sampah S</v>
      </c>
      <c r="D1323" s="53">
        <v>4</v>
      </c>
      <c r="E1323" s="26"/>
    </row>
    <row r="1324" spans="1:5" ht="16.5" x14ac:dyDescent="0.2">
      <c r="A1324" s="22"/>
      <c r="B1324" s="53" t="s">
        <v>131</v>
      </c>
      <c r="C1324" s="54" t="str">
        <f>IFERROR(VLOOKUP(B1324,'Rekap Stock Barang'!$A$7:$G$153,2,0),"")</f>
        <v>Plastik Sampah M</v>
      </c>
      <c r="D1324" s="53">
        <v>1</v>
      </c>
      <c r="E1324" s="26"/>
    </row>
    <row r="1325" spans="1:5" ht="16.5" x14ac:dyDescent="0.2">
      <c r="A1325" s="22"/>
      <c r="B1325" s="53" t="s">
        <v>132</v>
      </c>
      <c r="C1325" s="54" t="str">
        <f>IFERROR(VLOOKUP(B1325,'Rekap Stock Barang'!$A$7:$G$153,2,0),"")</f>
        <v>Plastik Sampah L</v>
      </c>
      <c r="D1325" s="53">
        <v>1</v>
      </c>
      <c r="E1325" s="26"/>
    </row>
    <row r="1326" spans="1:5" ht="16.5" x14ac:dyDescent="0.2">
      <c r="A1326" s="22"/>
      <c r="B1326" s="53" t="s">
        <v>274</v>
      </c>
      <c r="C1326" s="54" t="str">
        <f>IFERROR(VLOOKUP(B1326,'Rekap Stock Barang'!$A$7:$G$153,2,0),"")</f>
        <v>Plastik Sampah XL</v>
      </c>
      <c r="D1326" s="53">
        <v>1</v>
      </c>
      <c r="E1326" s="26"/>
    </row>
    <row r="1327" spans="1:5" ht="16.5" x14ac:dyDescent="0.2">
      <c r="A1327" s="22"/>
      <c r="B1327" s="55" t="s">
        <v>236</v>
      </c>
      <c r="C1327" s="56" t="str">
        <f>IFERROR(VLOOKUP(B1327,'Rekap Stock Barang'!$A$7:$G$153,2,0),"")</f>
        <v xml:space="preserve">Paha Gurih Manis </v>
      </c>
      <c r="D1327" s="55">
        <v>0</v>
      </c>
      <c r="E1327" s="26"/>
    </row>
    <row r="1328" spans="1:5" ht="16.5" x14ac:dyDescent="0.2">
      <c r="A1328" s="22"/>
      <c r="B1328" s="55" t="s">
        <v>241</v>
      </c>
      <c r="C1328" s="56" t="str">
        <f>IFERROR(VLOOKUP(B1328,'Rekap Stock Barang'!$A$7:$G$153,2,0),"")</f>
        <v>Dada Gurih Manis</v>
      </c>
      <c r="D1328" s="55">
        <v>3</v>
      </c>
      <c r="E1328" s="26"/>
    </row>
    <row r="1329" spans="1:5" ht="16.5" x14ac:dyDescent="0.2">
      <c r="A1329" s="22"/>
      <c r="B1329" s="55" t="s">
        <v>16</v>
      </c>
      <c r="C1329" s="56" t="str">
        <f>IFERROR(VLOOKUP(B1329,'Rekap Stock Barang'!$A$7:$G$153,2,0),"")</f>
        <v>Paha</v>
      </c>
      <c r="D1329" s="55">
        <v>7</v>
      </c>
      <c r="E1329" s="26"/>
    </row>
    <row r="1330" spans="1:5" ht="16.5" x14ac:dyDescent="0.2">
      <c r="A1330" s="22"/>
      <c r="B1330" s="55" t="s">
        <v>19</v>
      </c>
      <c r="C1330" s="56" t="str">
        <f>IFERROR(VLOOKUP(B1330,'Rekap Stock Barang'!$A$7:$G$153,2,0),"")</f>
        <v>Dada</v>
      </c>
      <c r="D1330" s="55">
        <v>6</v>
      </c>
      <c r="E1330" s="26"/>
    </row>
    <row r="1331" spans="1:5" ht="16.5" x14ac:dyDescent="0.2">
      <c r="A1331" s="22"/>
      <c r="B1331" s="55" t="s">
        <v>8</v>
      </c>
      <c r="C1331" s="56" t="str">
        <f>IFERROR(VLOOKUP(B1331,'Rekap Stock Barang'!$A$7:$G$153,2,0),"")</f>
        <v xml:space="preserve">Ayam Suwir </v>
      </c>
      <c r="D1331" s="55">
        <v>13</v>
      </c>
      <c r="E1331" s="26"/>
    </row>
    <row r="1332" spans="1:5" ht="16.5" x14ac:dyDescent="0.2">
      <c r="A1332" s="22"/>
      <c r="B1332" s="55" t="s">
        <v>9</v>
      </c>
      <c r="C1332" s="56" t="str">
        <f>IFERROR(VLOOKUP(B1332,'Rekap Stock Barang'!$A$7:$G$153,2,0),"")</f>
        <v xml:space="preserve">Topping Kwetiau </v>
      </c>
      <c r="D1332" s="55">
        <v>7</v>
      </c>
      <c r="E1332" s="26"/>
    </row>
    <row r="1333" spans="1:5" ht="16.5" x14ac:dyDescent="0.2">
      <c r="A1333" s="22"/>
      <c r="B1333" s="55" t="s">
        <v>243</v>
      </c>
      <c r="C1333" s="56" t="str">
        <f>IFERROR(VLOOKUP(B1333,'Rekap Stock Barang'!$A$7:$G$153,2,0),"")</f>
        <v xml:space="preserve">Daging Slice </v>
      </c>
      <c r="D1333" s="55">
        <v>5</v>
      </c>
      <c r="E1333" s="26"/>
    </row>
    <row r="1334" spans="1:5" ht="16.5" x14ac:dyDescent="0.2">
      <c r="A1334" s="22"/>
      <c r="B1334" s="55" t="s">
        <v>14</v>
      </c>
      <c r="C1334" s="56" t="str">
        <f>IFERROR(VLOOKUP(B1334,'Rekap Stock Barang'!$A$7:$G$153,2,0),"")</f>
        <v>Ayam Jamur</v>
      </c>
      <c r="D1334" s="55">
        <v>2</v>
      </c>
      <c r="E1334" s="26"/>
    </row>
    <row r="1335" spans="1:5" ht="16.5" x14ac:dyDescent="0.2">
      <c r="A1335" s="22"/>
      <c r="B1335" s="55" t="s">
        <v>20</v>
      </c>
      <c r="C1335" s="56" t="str">
        <f>IFERROR(VLOOKUP(B1335,'Rekap Stock Barang'!$A$7:$G$153,2,0),"")</f>
        <v>Cumi</v>
      </c>
      <c r="D1335" s="55">
        <v>8</v>
      </c>
      <c r="E1335" s="26"/>
    </row>
    <row r="1336" spans="1:5" ht="16.5" x14ac:dyDescent="0.2">
      <c r="A1336" s="22"/>
      <c r="B1336" s="55" t="s">
        <v>38</v>
      </c>
      <c r="C1336" s="56" t="str">
        <f>IFERROR(VLOOKUP(B1336,'Rekap Stock Barang'!$A$7:$G$153,2,0),"")</f>
        <v>Daging Sambal HIjau</v>
      </c>
      <c r="D1336" s="55">
        <v>4</v>
      </c>
      <c r="E1336" s="26"/>
    </row>
    <row r="1337" spans="1:5" ht="16.5" x14ac:dyDescent="0.2">
      <c r="A1337" s="22"/>
      <c r="B1337" s="55" t="s">
        <v>22</v>
      </c>
      <c r="C1337" s="56" t="str">
        <f>IFERROR(VLOOKUP(B1337,'Rekap Stock Barang'!$A$7:$G$153,2,0),"")</f>
        <v>Kulit</v>
      </c>
      <c r="D1337" s="55">
        <v>9</v>
      </c>
      <c r="E1337" s="26"/>
    </row>
    <row r="1338" spans="1:5" ht="16.5" x14ac:dyDescent="0.2">
      <c r="A1338" s="22"/>
      <c r="B1338" s="55" t="s">
        <v>28</v>
      </c>
      <c r="C1338" s="56" t="str">
        <f>IFERROR(VLOOKUP(B1338,'Rekap Stock Barang'!$A$7:$G$153,2,0),"")</f>
        <v xml:space="preserve">Topping Nasi Gila </v>
      </c>
      <c r="D1338" s="55">
        <v>5</v>
      </c>
      <c r="E1338" s="26"/>
    </row>
    <row r="1339" spans="1:5" ht="16.5" x14ac:dyDescent="0.2">
      <c r="A1339" s="22"/>
      <c r="B1339" s="55" t="s">
        <v>24</v>
      </c>
      <c r="C1339" s="56" t="str">
        <f>IFERROR(VLOOKUP(B1339,'Rekap Stock Barang'!$A$7:$G$153,2,0),"")</f>
        <v xml:space="preserve">Lidah </v>
      </c>
      <c r="D1339" s="55">
        <v>7</v>
      </c>
      <c r="E1339" s="26"/>
    </row>
    <row r="1340" spans="1:5" ht="16.5" x14ac:dyDescent="0.2">
      <c r="A1340" s="22"/>
      <c r="B1340" s="55" t="s">
        <v>335</v>
      </c>
      <c r="C1340" s="56" t="str">
        <f>IFERROR(VLOOKUP(B1340,'Rekap Stock Barang'!$A$7:$G$153,2,0),"")</f>
        <v>Pete Add On</v>
      </c>
      <c r="D1340" s="55">
        <v>0</v>
      </c>
      <c r="E1340" s="26"/>
    </row>
    <row r="1341" spans="1:5" ht="16.5" x14ac:dyDescent="0.2">
      <c r="A1341" s="22"/>
      <c r="B1341" s="55" t="s">
        <v>288</v>
      </c>
      <c r="C1341" s="56" t="str">
        <f>IFERROR(VLOOKUP(B1341,'Rekap Stock Barang'!$A$7:$G$153,2,0),"")</f>
        <v>Pete</v>
      </c>
      <c r="D1341" s="55">
        <v>0</v>
      </c>
      <c r="E1341" s="26"/>
    </row>
    <row r="1342" spans="1:5" ht="16.5" x14ac:dyDescent="0.2">
      <c r="A1342" s="22"/>
      <c r="B1342" s="55" t="s">
        <v>275</v>
      </c>
      <c r="C1342" s="56" t="str">
        <f>IFERROR(VLOOKUP(B1342,'Rekap Stock Barang'!$A$7:$G$153,2,0),"")</f>
        <v xml:space="preserve">Teri Pete </v>
      </c>
      <c r="D1342" s="55">
        <v>1</v>
      </c>
      <c r="E1342" s="26"/>
    </row>
    <row r="1343" spans="1:5" ht="16.5" x14ac:dyDescent="0.2">
      <c r="A1343" s="22"/>
      <c r="B1343" s="55" t="s">
        <v>279</v>
      </c>
      <c r="C1343" s="56" t="str">
        <f>IFERROR(VLOOKUP(B1343,'Rekap Stock Barang'!$A$7:$G$153,2,0),"")</f>
        <v>Lidah Goreng Segara</v>
      </c>
      <c r="D1343" s="55">
        <v>5</v>
      </c>
      <c r="E1343" s="26"/>
    </row>
    <row r="1344" spans="1:5" ht="16.5" x14ac:dyDescent="0.2">
      <c r="A1344" s="22"/>
      <c r="B1344" s="55" t="s">
        <v>10</v>
      </c>
      <c r="C1344" s="56" t="str">
        <f>IFERROR(VLOOKUP(B1344,'Rekap Stock Barang'!$A$7:$G$153,2,0),"")</f>
        <v>Topping Mbakmoy</v>
      </c>
      <c r="D1344" s="55">
        <v>3</v>
      </c>
      <c r="E1344" s="26"/>
    </row>
    <row r="1345" spans="1:5" ht="16.5" x14ac:dyDescent="0.2">
      <c r="A1345" s="22"/>
      <c r="B1345" s="55" t="s">
        <v>276</v>
      </c>
      <c r="C1345" s="56" t="str">
        <f>IFERROR(VLOOKUP(B1345,'Rekap Stock Barang'!$A$7:$G$153,2,0),"")</f>
        <v>Sambal Baby Cumi</v>
      </c>
      <c r="D1345" s="55">
        <v>7</v>
      </c>
      <c r="E1345" s="26"/>
    </row>
    <row r="1346" spans="1:5" ht="16.5" x14ac:dyDescent="0.2">
      <c r="A1346" s="22"/>
      <c r="B1346" s="57" t="s">
        <v>31</v>
      </c>
      <c r="C1346" s="58" t="str">
        <f>IFERROR(VLOOKUP(B1346,'Rekap Stock Barang'!$A$7:$G$153,2,0),"")</f>
        <v>Bagor</v>
      </c>
      <c r="D1346" s="57">
        <v>6</v>
      </c>
      <c r="E1346" s="26"/>
    </row>
    <row r="1347" spans="1:5" ht="16.5" x14ac:dyDescent="0.2">
      <c r="A1347" s="22"/>
      <c r="B1347" s="57" t="s">
        <v>178</v>
      </c>
      <c r="C1347" s="58" t="str">
        <f>IFERROR(VLOOKUP(B1347,'Rekap Stock Barang'!$A$7:$G$153,2,0),"")</f>
        <v xml:space="preserve">Cireng </v>
      </c>
      <c r="D1347" s="57">
        <v>2</v>
      </c>
      <c r="E1347" s="26"/>
    </row>
    <row r="1348" spans="1:5" ht="16.5" x14ac:dyDescent="0.2">
      <c r="A1348" s="22"/>
      <c r="B1348" s="57" t="s">
        <v>238</v>
      </c>
      <c r="C1348" s="58" t="str">
        <f>IFERROR(VLOOKUP(B1348,'Rekap Stock Barang'!$A$7:$G$153,2,0),"")</f>
        <v>Sayap Goreng</v>
      </c>
      <c r="D1348" s="57">
        <v>1</v>
      </c>
      <c r="E1348" s="26"/>
    </row>
    <row r="1349" spans="1:5" ht="16.5" x14ac:dyDescent="0.2">
      <c r="A1349" s="22"/>
      <c r="B1349" s="59" t="s">
        <v>175</v>
      </c>
      <c r="C1349" s="60" t="str">
        <f>IFERROR(VLOOKUP(B1349,'Rekap Stock Barang'!$A$7:$G$153,2,0),"")</f>
        <v>Mineral</v>
      </c>
      <c r="D1349" s="59">
        <v>33</v>
      </c>
      <c r="E1349" s="26"/>
    </row>
    <row r="1350" spans="1:5" ht="16.5" x14ac:dyDescent="0.2">
      <c r="A1350" s="22"/>
      <c r="B1350" s="59" t="s">
        <v>170</v>
      </c>
      <c r="C1350" s="60" t="str">
        <f>IFERROR(VLOOKUP(B1350,'Rekap Stock Barang'!$A$7:$G$153,2,0),"")</f>
        <v>Air Tahu</v>
      </c>
      <c r="D1350" s="59">
        <v>3</v>
      </c>
      <c r="E1350" s="26"/>
    </row>
    <row r="1351" spans="1:5" ht="16.5" x14ac:dyDescent="0.2">
      <c r="A1351" s="22"/>
      <c r="B1351" s="59" t="s">
        <v>229</v>
      </c>
      <c r="C1351" s="60" t="str">
        <f>IFERROR(VLOOKUP(B1351,'Rekap Stock Barang'!$A$7:$G$153,2,0),"")</f>
        <v xml:space="preserve">Manggo Juice </v>
      </c>
      <c r="D1351" s="59">
        <v>4</v>
      </c>
      <c r="E1351" s="26"/>
    </row>
    <row r="1352" spans="1:5" ht="16.5" x14ac:dyDescent="0.2">
      <c r="A1352" s="22"/>
      <c r="B1352" s="59" t="s">
        <v>226</v>
      </c>
      <c r="C1352" s="60" t="str">
        <f>IFERROR(VLOOKUP(B1352,'Rekap Stock Barang'!$A$7:$G$153,2,0),"")</f>
        <v>Mix Berries</v>
      </c>
      <c r="D1352" s="59">
        <v>2</v>
      </c>
      <c r="E1352" s="26"/>
    </row>
    <row r="1353" spans="1:5" ht="16.5" x14ac:dyDescent="0.2">
      <c r="A1353" s="22"/>
      <c r="B1353" s="70" t="s">
        <v>202</v>
      </c>
      <c r="C1353" s="60" t="str">
        <f>IFERROR(VLOOKUP(B1353,'Rekap Stock Barang'!$A$7:$G$153,2,0),"")</f>
        <v xml:space="preserve">Zoda Water </v>
      </c>
      <c r="D1353" s="70">
        <v>1</v>
      </c>
      <c r="E1353" s="26"/>
    </row>
    <row r="1354" spans="1:5" ht="17.25" thickBot="1" x14ac:dyDescent="0.25">
      <c r="A1354" s="61"/>
      <c r="B1354" s="62" t="s">
        <v>223</v>
      </c>
      <c r="C1354" s="63" t="str">
        <f>IFERROR(VLOOKUP(B1354,'Rekap Stock Barang'!$A$7:$G$153,2,0),"")</f>
        <v>Sirsak Juice</v>
      </c>
      <c r="D1354" s="62">
        <v>1</v>
      </c>
      <c r="E1354" s="26"/>
    </row>
    <row r="1355" spans="1:5" ht="16.5" x14ac:dyDescent="0.2">
      <c r="A1355" s="22"/>
      <c r="B1355" s="49"/>
      <c r="C1355" s="40" t="str">
        <f>IFERROR(VLOOKUP(B1355,'Rekap Stock Barang'!$A$7:$G$153,2,0),"")</f>
        <v/>
      </c>
      <c r="D1355" s="49"/>
      <c r="E1355" s="26"/>
    </row>
    <row r="1356" spans="1:5" ht="16.5" x14ac:dyDescent="0.2">
      <c r="A1356" s="22"/>
      <c r="B1356" s="49"/>
      <c r="C1356" s="40" t="str">
        <f>IFERROR(VLOOKUP(B1356,'Rekap Stock Barang'!$A$7:$G$153,2,0),"")</f>
        <v/>
      </c>
      <c r="D1356" s="49"/>
      <c r="E1356" s="26"/>
    </row>
    <row r="1357" spans="1:5" ht="16.5" x14ac:dyDescent="0.2">
      <c r="A1357" s="22"/>
      <c r="B1357" s="49"/>
      <c r="C1357" s="40" t="str">
        <f>IFERROR(VLOOKUP(B1357,'Rekap Stock Barang'!$A$7:$G$153,2,0),"")</f>
        <v/>
      </c>
      <c r="D1357" s="49"/>
      <c r="E1357" s="26"/>
    </row>
    <row r="1358" spans="1:5" ht="16.5" x14ac:dyDescent="0.2">
      <c r="A1358" s="22"/>
      <c r="B1358" s="49"/>
      <c r="C1358" s="40" t="str">
        <f>IFERROR(VLOOKUP(B1358,'Rekap Stock Barang'!$A$7:$G$153,2,0),"")</f>
        <v/>
      </c>
      <c r="D1358" s="49"/>
      <c r="E1358" s="26"/>
    </row>
    <row r="1359" spans="1:5" ht="16.5" x14ac:dyDescent="0.2">
      <c r="A1359" s="22"/>
      <c r="B1359" s="49"/>
      <c r="C1359" s="40" t="str">
        <f>IFERROR(VLOOKUP(B1359,'Rekap Stock Barang'!$A$7:$G$153,2,0),"")</f>
        <v/>
      </c>
      <c r="D1359" s="49"/>
      <c r="E1359" s="26"/>
    </row>
    <row r="1360" spans="1:5" ht="16.5" x14ac:dyDescent="0.2">
      <c r="A1360" s="22"/>
      <c r="B1360" s="49"/>
      <c r="C1360" s="40" t="str">
        <f>IFERROR(VLOOKUP(B1360,'Rekap Stock Barang'!$A$7:$G$153,2,0),"")</f>
        <v/>
      </c>
      <c r="D1360" s="49"/>
      <c r="E1360" s="26"/>
    </row>
    <row r="1361" spans="1:5" ht="16.5" x14ac:dyDescent="0.2">
      <c r="A1361" s="22"/>
      <c r="B1361" s="49"/>
      <c r="C1361" s="40" t="str">
        <f>IFERROR(VLOOKUP(B1361,'Rekap Stock Barang'!$A$7:$G$153,2,0),"")</f>
        <v/>
      </c>
      <c r="D1361" s="49"/>
      <c r="E1361" s="26"/>
    </row>
    <row r="1362" spans="1:5" ht="16.5" x14ac:dyDescent="0.2">
      <c r="A1362" s="22"/>
      <c r="B1362" s="49"/>
      <c r="C1362" s="40" t="str">
        <f>IFERROR(VLOOKUP(B1362,'Rekap Stock Barang'!$A$7:$G$153,2,0),"")</f>
        <v/>
      </c>
      <c r="D1362" s="49"/>
      <c r="E1362" s="26"/>
    </row>
    <row r="1363" spans="1:5" ht="16.5" x14ac:dyDescent="0.2">
      <c r="A1363" s="22"/>
      <c r="B1363" s="49"/>
      <c r="C1363" s="40" t="str">
        <f>IFERROR(VLOOKUP(B1363,'Rekap Stock Barang'!$A$7:$G$153,2,0),"")</f>
        <v/>
      </c>
      <c r="D1363" s="49"/>
      <c r="E1363" s="26"/>
    </row>
    <row r="1364" spans="1:5" ht="16.5" x14ac:dyDescent="0.2">
      <c r="A1364" s="22"/>
      <c r="B1364" s="49"/>
      <c r="C1364" s="40" t="str">
        <f>IFERROR(VLOOKUP(B1364,'Rekap Stock Barang'!$A$7:$G$153,2,0),"")</f>
        <v/>
      </c>
      <c r="D1364" s="49"/>
      <c r="E1364" s="26"/>
    </row>
    <row r="1365" spans="1:5" ht="16.5" x14ac:dyDescent="0.2">
      <c r="A1365" s="22"/>
      <c r="B1365" s="49"/>
      <c r="C1365" s="40" t="str">
        <f>IFERROR(VLOOKUP(B1365,'Rekap Stock Barang'!$A$7:$G$153,2,0),"")</f>
        <v/>
      </c>
      <c r="D1365" s="49"/>
      <c r="E1365" s="26"/>
    </row>
    <row r="1366" spans="1:5" ht="16.5" x14ac:dyDescent="0.2">
      <c r="A1366" s="22"/>
      <c r="B1366" s="49"/>
      <c r="C1366" s="40" t="str">
        <f>IFERROR(VLOOKUP(B1366,'Rekap Stock Barang'!$A$7:$G$153,2,0),"")</f>
        <v/>
      </c>
      <c r="D1366" s="49"/>
      <c r="E1366" s="26"/>
    </row>
    <row r="1367" spans="1:5" ht="16.5" x14ac:dyDescent="0.2">
      <c r="A1367" s="22"/>
      <c r="B1367" s="49"/>
      <c r="C1367" s="40" t="str">
        <f>IFERROR(VLOOKUP(B1367,'Rekap Stock Barang'!$A$7:$G$153,2,0),"")</f>
        <v/>
      </c>
      <c r="D1367" s="49"/>
      <c r="E1367" s="26"/>
    </row>
    <row r="1368" spans="1:5" ht="16.5" x14ac:dyDescent="0.2">
      <c r="A1368" s="22"/>
      <c r="B1368" s="49"/>
      <c r="C1368" s="40" t="str">
        <f>IFERROR(VLOOKUP(B1368,'Rekap Stock Barang'!$A$7:$G$153,2,0),"")</f>
        <v/>
      </c>
      <c r="D1368" s="49"/>
      <c r="E1368" s="26"/>
    </row>
    <row r="1369" spans="1:5" ht="16.5" x14ac:dyDescent="0.2">
      <c r="A1369" s="22"/>
      <c r="B1369" s="49"/>
      <c r="C1369" s="40" t="str">
        <f>IFERROR(VLOOKUP(B1369,'Rekap Stock Barang'!$A$7:$G$153,2,0),"")</f>
        <v/>
      </c>
      <c r="D1369" s="49"/>
      <c r="E1369" s="26"/>
    </row>
    <row r="1370" spans="1:5" ht="16.5" x14ac:dyDescent="0.2">
      <c r="A1370" s="22"/>
      <c r="B1370" s="49"/>
      <c r="C1370" s="40" t="str">
        <f>IFERROR(VLOOKUP(B1370,'Rekap Stock Barang'!$A$7:$G$153,2,0),"")</f>
        <v/>
      </c>
      <c r="D1370" s="49"/>
      <c r="E1370" s="26"/>
    </row>
    <row r="1371" spans="1:5" ht="16.5" x14ac:dyDescent="0.2">
      <c r="A1371" s="22"/>
      <c r="B1371" s="49"/>
      <c r="C1371" s="40" t="str">
        <f>IFERROR(VLOOKUP(B1371,'Rekap Stock Barang'!$A$7:$G$153,2,0),"")</f>
        <v/>
      </c>
      <c r="D1371" s="49"/>
      <c r="E1371" s="26"/>
    </row>
    <row r="1372" spans="1:5" ht="16.5" x14ac:dyDescent="0.2">
      <c r="A1372" s="22"/>
      <c r="B1372" s="49"/>
      <c r="C1372" s="40" t="str">
        <f>IFERROR(VLOOKUP(B1372,'Rekap Stock Barang'!$A$7:$G$153,2,0),"")</f>
        <v/>
      </c>
      <c r="D1372" s="49"/>
      <c r="E1372" s="26"/>
    </row>
    <row r="1373" spans="1:5" ht="16.5" x14ac:dyDescent="0.2">
      <c r="A1373" s="22"/>
      <c r="B1373" s="49"/>
      <c r="C1373" s="40" t="str">
        <f>IFERROR(VLOOKUP(B1373,'Rekap Stock Barang'!$A$7:$G$153,2,0),"")</f>
        <v/>
      </c>
      <c r="D1373" s="49"/>
      <c r="E1373" s="26"/>
    </row>
    <row r="1374" spans="1:5" ht="16.5" x14ac:dyDescent="0.2">
      <c r="A1374" s="22"/>
      <c r="B1374" s="49"/>
      <c r="C1374" s="40" t="str">
        <f>IFERROR(VLOOKUP(B1374,'Rekap Stock Barang'!$A$7:$G$153,2,0),"")</f>
        <v/>
      </c>
      <c r="D1374" s="49"/>
      <c r="E1374" s="26"/>
    </row>
    <row r="1375" spans="1:5" ht="16.5" x14ac:dyDescent="0.2">
      <c r="A1375" s="22"/>
      <c r="B1375" s="49"/>
      <c r="C1375" s="40" t="str">
        <f>IFERROR(VLOOKUP(B1375,'Rekap Stock Barang'!$A$7:$G$153,2,0),"")</f>
        <v/>
      </c>
      <c r="D1375" s="49"/>
      <c r="E1375" s="26"/>
    </row>
    <row r="1376" spans="1:5" ht="16.5" x14ac:dyDescent="0.2">
      <c r="A1376" s="22"/>
      <c r="B1376" s="49"/>
      <c r="C1376" s="40" t="str">
        <f>IFERROR(VLOOKUP(B1376,'Rekap Stock Barang'!$A$7:$G$153,2,0),"")</f>
        <v/>
      </c>
      <c r="D1376" s="49"/>
      <c r="E1376" s="26"/>
    </row>
    <row r="1377" spans="1:5" ht="16.5" x14ac:dyDescent="0.2">
      <c r="A1377" s="22"/>
      <c r="B1377" s="49"/>
      <c r="C1377" s="40" t="str">
        <f>IFERROR(VLOOKUP(B1377,'Rekap Stock Barang'!$A$7:$G$153,2,0),"")</f>
        <v/>
      </c>
      <c r="D1377" s="49"/>
      <c r="E1377" s="26"/>
    </row>
    <row r="1378" spans="1:5" ht="16.5" x14ac:dyDescent="0.2">
      <c r="A1378" s="22"/>
      <c r="B1378" s="49"/>
      <c r="C1378" s="40" t="str">
        <f>IFERROR(VLOOKUP(B1378,'Rekap Stock Barang'!$A$7:$G$153,2,0),"")</f>
        <v/>
      </c>
      <c r="D1378" s="49"/>
      <c r="E1378" s="26"/>
    </row>
    <row r="1379" spans="1:5" ht="16.5" x14ac:dyDescent="0.2">
      <c r="A1379" s="22"/>
      <c r="B1379" s="49"/>
      <c r="C1379" s="40" t="str">
        <f>IFERROR(VLOOKUP(B1379,'Rekap Stock Barang'!$A$7:$G$153,2,0),"")</f>
        <v/>
      </c>
      <c r="D1379" s="49"/>
      <c r="E1379" s="26"/>
    </row>
    <row r="1380" spans="1:5" ht="16.5" x14ac:dyDescent="0.2">
      <c r="A1380" s="22"/>
      <c r="B1380" s="49"/>
      <c r="C1380" s="40" t="str">
        <f>IFERROR(VLOOKUP(B1380,'Rekap Stock Barang'!$A$7:$G$153,2,0),"")</f>
        <v/>
      </c>
      <c r="D1380" s="49"/>
      <c r="E1380" s="26"/>
    </row>
    <row r="1381" spans="1:5" ht="16.5" x14ac:dyDescent="0.2">
      <c r="A1381" s="22"/>
      <c r="B1381" s="49"/>
      <c r="C1381" s="40" t="str">
        <f>IFERROR(VLOOKUP(B1381,'Rekap Stock Barang'!$A$7:$G$153,2,0),"")</f>
        <v/>
      </c>
      <c r="D1381" s="49"/>
      <c r="E1381" s="26"/>
    </row>
    <row r="1382" spans="1:5" ht="16.5" x14ac:dyDescent="0.2">
      <c r="A1382" s="22"/>
      <c r="B1382" s="49"/>
      <c r="C1382" s="40" t="str">
        <f>IFERROR(VLOOKUP(B1382,'Rekap Stock Barang'!$A$7:$G$153,2,0),"")</f>
        <v/>
      </c>
      <c r="D1382" s="49"/>
      <c r="E1382" s="26"/>
    </row>
    <row r="1383" spans="1:5" ht="16.5" x14ac:dyDescent="0.2">
      <c r="A1383" s="22"/>
      <c r="B1383" s="49"/>
      <c r="C1383" s="40" t="str">
        <f>IFERROR(VLOOKUP(B1383,'Rekap Stock Barang'!$A$7:$G$153,2,0),"")</f>
        <v/>
      </c>
      <c r="D1383" s="49"/>
      <c r="E1383" s="26"/>
    </row>
    <row r="1384" spans="1:5" ht="16.5" x14ac:dyDescent="0.2">
      <c r="A1384" s="22"/>
      <c r="B1384" s="49"/>
      <c r="C1384" s="40" t="str">
        <f>IFERROR(VLOOKUP(B1384,'Rekap Stock Barang'!$A$7:$G$153,2,0),"")</f>
        <v/>
      </c>
      <c r="D1384" s="49"/>
      <c r="E1384" s="26"/>
    </row>
    <row r="1385" spans="1:5" ht="16.5" x14ac:dyDescent="0.2">
      <c r="A1385" s="22"/>
      <c r="B1385" s="49"/>
      <c r="C1385" s="40" t="str">
        <f>IFERROR(VLOOKUP(B1385,'Rekap Stock Barang'!$A$7:$G$153,2,0),"")</f>
        <v/>
      </c>
      <c r="D1385" s="49"/>
      <c r="E1385" s="26"/>
    </row>
    <row r="1386" spans="1:5" ht="16.5" x14ac:dyDescent="0.2">
      <c r="A1386" s="22"/>
      <c r="B1386" s="49"/>
      <c r="C1386" s="40" t="str">
        <f>IFERROR(VLOOKUP(B1386,'Rekap Stock Barang'!$A$7:$G$153,2,0),"")</f>
        <v/>
      </c>
      <c r="D1386" s="49"/>
      <c r="E1386" s="26"/>
    </row>
    <row r="1387" spans="1:5" ht="16.5" x14ac:dyDescent="0.2">
      <c r="A1387" s="22"/>
      <c r="B1387" s="49"/>
      <c r="C1387" s="40" t="str">
        <f>IFERROR(VLOOKUP(B1387,'Rekap Stock Barang'!$A$7:$G$153,2,0),"")</f>
        <v/>
      </c>
      <c r="D1387" s="49"/>
      <c r="E1387" s="26"/>
    </row>
    <row r="1388" spans="1:5" ht="16.5" x14ac:dyDescent="0.2">
      <c r="A1388" s="22"/>
      <c r="B1388" s="49"/>
      <c r="C1388" s="40" t="str">
        <f>IFERROR(VLOOKUP(B1388,'Rekap Stock Barang'!$A$7:$G$153,2,0),"")</f>
        <v/>
      </c>
      <c r="D1388" s="49"/>
      <c r="E1388" s="26"/>
    </row>
    <row r="1389" spans="1:5" ht="16.5" x14ac:dyDescent="0.2">
      <c r="A1389" s="22"/>
      <c r="B1389" s="49"/>
      <c r="C1389" s="40" t="str">
        <f>IFERROR(VLOOKUP(B1389,'Rekap Stock Barang'!$A$7:$G$153,2,0),"")</f>
        <v/>
      </c>
      <c r="D1389" s="49"/>
      <c r="E1389" s="26"/>
    </row>
    <row r="1390" spans="1:5" ht="16.5" x14ac:dyDescent="0.2">
      <c r="A1390" s="22"/>
      <c r="B1390" s="49"/>
      <c r="C1390" s="40" t="str">
        <f>IFERROR(VLOOKUP(B1390,'Rekap Stock Barang'!$A$7:$G$153,2,0),"")</f>
        <v/>
      </c>
      <c r="D1390" s="49"/>
      <c r="E1390" s="26"/>
    </row>
    <row r="1391" spans="1:5" ht="16.5" x14ac:dyDescent="0.2">
      <c r="A1391" s="22"/>
      <c r="B1391" s="49"/>
      <c r="C1391" s="40" t="str">
        <f>IFERROR(VLOOKUP(B1391,'Rekap Stock Barang'!$A$7:$G$153,2,0),"")</f>
        <v/>
      </c>
      <c r="D1391" s="49"/>
      <c r="E1391" s="26"/>
    </row>
    <row r="1392" spans="1:5" ht="16.5" x14ac:dyDescent="0.2">
      <c r="A1392" s="22"/>
      <c r="B1392" s="49"/>
      <c r="C1392" s="40" t="str">
        <f>IFERROR(VLOOKUP(B1392,'Rekap Stock Barang'!$A$7:$G$153,2,0),"")</f>
        <v/>
      </c>
      <c r="D1392" s="49"/>
      <c r="E1392" s="26"/>
    </row>
    <row r="1393" spans="1:5" ht="16.5" x14ac:dyDescent="0.2">
      <c r="A1393" s="22"/>
      <c r="B1393" s="49"/>
      <c r="C1393" s="40" t="str">
        <f>IFERROR(VLOOKUP(B1393,'Rekap Stock Barang'!$A$7:$G$153,2,0),"")</f>
        <v/>
      </c>
      <c r="D1393" s="49"/>
      <c r="E1393" s="26"/>
    </row>
    <row r="1394" spans="1:5" ht="16.5" x14ac:dyDescent="0.2">
      <c r="A1394" s="22"/>
      <c r="B1394" s="49"/>
      <c r="C1394" s="40" t="str">
        <f>IFERROR(VLOOKUP(B1394,'Rekap Stock Barang'!$A$7:$G$153,2,0),"")</f>
        <v/>
      </c>
      <c r="D1394" s="49"/>
      <c r="E1394" s="26"/>
    </row>
    <row r="1395" spans="1:5" ht="16.5" x14ac:dyDescent="0.2">
      <c r="A1395" s="22"/>
      <c r="B1395" s="49"/>
      <c r="C1395" s="40" t="str">
        <f>IFERROR(VLOOKUP(B1395,'Rekap Stock Barang'!$A$7:$G$153,2,0),"")</f>
        <v/>
      </c>
      <c r="D1395" s="49"/>
      <c r="E1395" s="26"/>
    </row>
    <row r="1396" spans="1:5" ht="16.5" x14ac:dyDescent="0.2">
      <c r="A1396" s="22"/>
      <c r="B1396" s="49"/>
      <c r="C1396" s="40" t="str">
        <f>IFERROR(VLOOKUP(B1396,'Rekap Stock Barang'!$A$7:$G$153,2,0),"")</f>
        <v/>
      </c>
      <c r="D1396" s="49"/>
      <c r="E1396" s="26"/>
    </row>
    <row r="1397" spans="1:5" ht="16.5" x14ac:dyDescent="0.2">
      <c r="A1397" s="22"/>
      <c r="B1397" s="49"/>
      <c r="C1397" s="40" t="str">
        <f>IFERROR(VLOOKUP(B1397,'Rekap Stock Barang'!$A$7:$G$153,2,0),"")</f>
        <v/>
      </c>
      <c r="D1397" s="49"/>
      <c r="E1397" s="26"/>
    </row>
    <row r="1398" spans="1:5" ht="16.5" x14ac:dyDescent="0.2">
      <c r="A1398" s="22"/>
      <c r="B1398" s="49"/>
      <c r="C1398" s="40" t="str">
        <f>IFERROR(VLOOKUP(B1398,'Rekap Stock Barang'!$A$7:$G$153,2,0),"")</f>
        <v/>
      </c>
      <c r="D1398" s="49"/>
      <c r="E1398" s="26"/>
    </row>
    <row r="1399" spans="1:5" ht="16.5" x14ac:dyDescent="0.2">
      <c r="A1399" s="22"/>
      <c r="B1399" s="49"/>
      <c r="C1399" s="40" t="str">
        <f>IFERROR(VLOOKUP(B1399,'Rekap Stock Barang'!$A$7:$G$153,2,0),"")</f>
        <v/>
      </c>
      <c r="D1399" s="49"/>
      <c r="E1399" s="26"/>
    </row>
    <row r="1400" spans="1:5" ht="16.5" x14ac:dyDescent="0.2">
      <c r="A1400" s="22"/>
      <c r="B1400" s="49"/>
      <c r="C1400" s="40" t="str">
        <f>IFERROR(VLOOKUP(B1400,'Rekap Stock Barang'!$A$7:$G$153,2,0),"")</f>
        <v/>
      </c>
      <c r="D1400" s="49"/>
      <c r="E1400" s="26"/>
    </row>
    <row r="1401" spans="1:5" ht="16.5" x14ac:dyDescent="0.2">
      <c r="A1401" s="22"/>
      <c r="B1401" s="49"/>
      <c r="C1401" s="40" t="str">
        <f>IFERROR(VLOOKUP(B1401,'Rekap Stock Barang'!$A$7:$G$153,2,0),"")</f>
        <v/>
      </c>
      <c r="D1401" s="49"/>
      <c r="E1401" s="26"/>
    </row>
    <row r="1402" spans="1:5" ht="16.5" x14ac:dyDescent="0.2">
      <c r="A1402" s="22"/>
      <c r="B1402" s="49"/>
      <c r="C1402" s="40" t="str">
        <f>IFERROR(VLOOKUP(B1402,'Rekap Stock Barang'!$A$7:$G$153,2,0),"")</f>
        <v/>
      </c>
      <c r="D1402" s="49"/>
      <c r="E1402" s="26"/>
    </row>
    <row r="1403" spans="1:5" ht="16.5" x14ac:dyDescent="0.2">
      <c r="A1403" s="22"/>
      <c r="B1403" s="49"/>
      <c r="C1403" s="40" t="str">
        <f>IFERROR(VLOOKUP(B1403,'Rekap Stock Barang'!$A$7:$G$153,2,0),"")</f>
        <v/>
      </c>
      <c r="D1403" s="49"/>
      <c r="E1403" s="26"/>
    </row>
    <row r="1404" spans="1:5" ht="16.5" x14ac:dyDescent="0.2">
      <c r="A1404" s="22"/>
      <c r="B1404" s="49"/>
      <c r="C1404" s="40" t="str">
        <f>IFERROR(VLOOKUP(B1404,'Rekap Stock Barang'!$A$7:$G$153,2,0),"")</f>
        <v/>
      </c>
      <c r="D1404" s="49"/>
      <c r="E1404" s="26"/>
    </row>
    <row r="1405" spans="1:5" ht="16.5" x14ac:dyDescent="0.2">
      <c r="A1405" s="22"/>
      <c r="B1405" s="49"/>
      <c r="C1405" s="40" t="str">
        <f>IFERROR(VLOOKUP(B1405,'Rekap Stock Barang'!$A$7:$G$153,2,0),"")</f>
        <v/>
      </c>
      <c r="D1405" s="49"/>
      <c r="E1405" s="26"/>
    </row>
    <row r="1406" spans="1:5" ht="16.5" x14ac:dyDescent="0.2">
      <c r="A1406" s="22"/>
      <c r="B1406" s="49"/>
      <c r="C1406" s="40" t="str">
        <f>IFERROR(VLOOKUP(B1406,'Rekap Stock Barang'!$A$7:$G$153,2,0),"")</f>
        <v/>
      </c>
      <c r="D1406" s="49"/>
      <c r="E1406" s="26"/>
    </row>
    <row r="1407" spans="1:5" ht="16.5" x14ac:dyDescent="0.2">
      <c r="A1407" s="22"/>
      <c r="B1407" s="49"/>
      <c r="C1407" s="40" t="str">
        <f>IFERROR(VLOOKUP(B1407,'Rekap Stock Barang'!$A$7:$G$153,2,0),"")</f>
        <v/>
      </c>
      <c r="D1407" s="49"/>
      <c r="E1407" s="26"/>
    </row>
    <row r="1408" spans="1:5" ht="16.5" x14ac:dyDescent="0.2">
      <c r="A1408" s="22"/>
      <c r="B1408" s="49"/>
      <c r="C1408" s="40" t="str">
        <f>IFERROR(VLOOKUP(B1408,'Rekap Stock Barang'!$A$7:$G$153,2,0),"")</f>
        <v/>
      </c>
      <c r="D1408" s="49"/>
      <c r="E1408" s="26"/>
    </row>
    <row r="1409" spans="1:5" ht="16.5" x14ac:dyDescent="0.2">
      <c r="A1409" s="22"/>
      <c r="B1409" s="49"/>
      <c r="C1409" s="40" t="str">
        <f>IFERROR(VLOOKUP(B1409,'Rekap Stock Barang'!$A$7:$G$153,2,0),"")</f>
        <v/>
      </c>
      <c r="D1409" s="49"/>
      <c r="E1409" s="26"/>
    </row>
    <row r="1410" spans="1:5" ht="16.5" x14ac:dyDescent="0.2">
      <c r="A1410" s="22"/>
      <c r="B1410" s="49"/>
      <c r="C1410" s="40" t="str">
        <f>IFERROR(VLOOKUP(B1410,'Rekap Stock Barang'!$A$7:$G$153,2,0),"")</f>
        <v/>
      </c>
      <c r="D1410" s="49"/>
      <c r="E1410" s="26"/>
    </row>
    <row r="1411" spans="1:5" ht="16.5" x14ac:dyDescent="0.2">
      <c r="A1411" s="22"/>
      <c r="B1411" s="49"/>
      <c r="C1411" s="40" t="str">
        <f>IFERROR(VLOOKUP(B1411,'Rekap Stock Barang'!$A$7:$G$153,2,0),"")</f>
        <v/>
      </c>
      <c r="D1411" s="49"/>
      <c r="E1411" s="26"/>
    </row>
    <row r="1412" spans="1:5" ht="16.5" x14ac:dyDescent="0.2">
      <c r="A1412" s="22"/>
      <c r="B1412" s="49"/>
      <c r="C1412" s="40" t="str">
        <f>IFERROR(VLOOKUP(B1412,'Rekap Stock Barang'!$A$7:$G$153,2,0),"")</f>
        <v/>
      </c>
      <c r="D1412" s="49"/>
      <c r="E1412" s="26"/>
    </row>
    <row r="1413" spans="1:5" ht="16.5" x14ac:dyDescent="0.2">
      <c r="A1413" s="22"/>
      <c r="B1413" s="49"/>
      <c r="C1413" s="40" t="str">
        <f>IFERROR(VLOOKUP(B1413,'Rekap Stock Barang'!$A$7:$G$153,2,0),"")</f>
        <v/>
      </c>
      <c r="D1413" s="49"/>
      <c r="E1413" s="26"/>
    </row>
    <row r="1414" spans="1:5" ht="16.5" x14ac:dyDescent="0.2">
      <c r="A1414" s="22"/>
      <c r="B1414" s="49"/>
      <c r="C1414" s="40" t="str">
        <f>IFERROR(VLOOKUP(B1414,'Rekap Stock Barang'!$A$7:$G$153,2,0),"")</f>
        <v/>
      </c>
      <c r="D1414" s="49"/>
      <c r="E1414" s="26"/>
    </row>
    <row r="1415" spans="1:5" ht="16.5" x14ac:dyDescent="0.2">
      <c r="A1415" s="22"/>
      <c r="B1415" s="49"/>
      <c r="C1415" s="40" t="str">
        <f>IFERROR(VLOOKUP(B1415,'Rekap Stock Barang'!$A$7:$G$153,2,0),"")</f>
        <v/>
      </c>
      <c r="D1415" s="49"/>
      <c r="E1415" s="26"/>
    </row>
    <row r="1416" spans="1:5" ht="16.5" x14ac:dyDescent="0.2">
      <c r="A1416" s="22"/>
      <c r="B1416" s="49"/>
      <c r="C1416" s="40" t="str">
        <f>IFERROR(VLOOKUP(B1416,'Rekap Stock Barang'!$A$7:$G$153,2,0),"")</f>
        <v/>
      </c>
      <c r="D1416" s="49"/>
      <c r="E1416" s="26"/>
    </row>
    <row r="1417" spans="1:5" ht="16.5" x14ac:dyDescent="0.2">
      <c r="A1417" s="22"/>
      <c r="B1417" s="49"/>
      <c r="C1417" s="40" t="str">
        <f>IFERROR(VLOOKUP(B1417,'Rekap Stock Barang'!$A$7:$G$153,2,0),"")</f>
        <v/>
      </c>
      <c r="D1417" s="49"/>
      <c r="E1417" s="26"/>
    </row>
    <row r="1418" spans="1:5" ht="16.5" x14ac:dyDescent="0.2">
      <c r="A1418" s="22"/>
      <c r="B1418" s="49"/>
      <c r="C1418" s="40" t="str">
        <f>IFERROR(VLOOKUP(B1418,'Rekap Stock Barang'!$A$7:$G$153,2,0),"")</f>
        <v/>
      </c>
      <c r="D1418" s="49"/>
      <c r="E1418" s="26"/>
    </row>
    <row r="1419" spans="1:5" ht="16.5" x14ac:dyDescent="0.2">
      <c r="A1419" s="22"/>
      <c r="B1419" s="49"/>
      <c r="C1419" s="40" t="str">
        <f>IFERROR(VLOOKUP(B1419,'Rekap Stock Barang'!$A$7:$G$153,2,0),"")</f>
        <v/>
      </c>
      <c r="D1419" s="49"/>
      <c r="E1419" s="26"/>
    </row>
    <row r="1420" spans="1:5" ht="16.5" x14ac:dyDescent="0.2">
      <c r="A1420" s="22"/>
      <c r="B1420" s="49"/>
      <c r="C1420" s="40" t="str">
        <f>IFERROR(VLOOKUP(B1420,'Rekap Stock Barang'!$A$7:$G$153,2,0),"")</f>
        <v/>
      </c>
      <c r="D1420" s="49"/>
      <c r="E1420" s="26"/>
    </row>
    <row r="1421" spans="1:5" ht="16.5" x14ac:dyDescent="0.2">
      <c r="A1421" s="22"/>
      <c r="B1421" s="49"/>
      <c r="C1421" s="40" t="str">
        <f>IFERROR(VLOOKUP(B1421,'Rekap Stock Barang'!$A$7:$G$153,2,0),"")</f>
        <v/>
      </c>
      <c r="D1421" s="49"/>
      <c r="E1421" s="26"/>
    </row>
    <row r="1422" spans="1:5" ht="16.5" x14ac:dyDescent="0.2">
      <c r="A1422" s="22"/>
      <c r="B1422" s="49"/>
      <c r="C1422" s="40" t="str">
        <f>IFERROR(VLOOKUP(B1422,'Rekap Stock Barang'!$A$7:$G$153,2,0),"")</f>
        <v/>
      </c>
      <c r="D1422" s="49"/>
      <c r="E1422" s="26"/>
    </row>
    <row r="1423" spans="1:5" ht="16.5" x14ac:dyDescent="0.2">
      <c r="A1423" s="22"/>
      <c r="B1423" s="49"/>
      <c r="C1423" s="40" t="str">
        <f>IFERROR(VLOOKUP(B1423,'Rekap Stock Barang'!$A$7:$G$153,2,0),"")</f>
        <v/>
      </c>
      <c r="D1423" s="49"/>
      <c r="E1423" s="26"/>
    </row>
    <row r="1424" spans="1:5" ht="16.5" x14ac:dyDescent="0.2">
      <c r="A1424" s="22"/>
      <c r="B1424" s="49"/>
      <c r="C1424" s="40" t="str">
        <f>IFERROR(VLOOKUP(B1424,'Rekap Stock Barang'!$A$7:$G$153,2,0),"")</f>
        <v/>
      </c>
      <c r="D1424" s="49"/>
      <c r="E1424" s="26"/>
    </row>
    <row r="1425" spans="1:5" ht="16.5" x14ac:dyDescent="0.2">
      <c r="A1425" s="22"/>
      <c r="B1425" s="49"/>
      <c r="C1425" s="40" t="str">
        <f>IFERROR(VLOOKUP(B1425,'Rekap Stock Barang'!$A$7:$G$153,2,0),"")</f>
        <v/>
      </c>
      <c r="D1425" s="49"/>
      <c r="E1425" s="26"/>
    </row>
    <row r="1426" spans="1:5" ht="16.5" x14ac:dyDescent="0.2">
      <c r="A1426" s="22"/>
      <c r="B1426" s="49"/>
      <c r="C1426" s="40" t="str">
        <f>IFERROR(VLOOKUP(B1426,'Rekap Stock Barang'!$A$7:$G$153,2,0),"")</f>
        <v/>
      </c>
      <c r="D1426" s="49"/>
      <c r="E1426" s="26"/>
    </row>
    <row r="1427" spans="1:5" ht="16.5" x14ac:dyDescent="0.2">
      <c r="A1427" s="22"/>
      <c r="B1427" s="49"/>
      <c r="C1427" s="40" t="str">
        <f>IFERROR(VLOOKUP(B1427,'Rekap Stock Barang'!$A$7:$G$153,2,0),"")</f>
        <v/>
      </c>
      <c r="D1427" s="49"/>
      <c r="E1427" s="26"/>
    </row>
    <row r="1428" spans="1:5" ht="16.5" x14ac:dyDescent="0.2">
      <c r="A1428" s="22"/>
      <c r="B1428" s="49"/>
      <c r="C1428" s="40" t="str">
        <f>IFERROR(VLOOKUP(B1428,'Rekap Stock Barang'!$A$7:$G$153,2,0),"")</f>
        <v/>
      </c>
      <c r="D1428" s="49"/>
      <c r="E1428" s="26"/>
    </row>
    <row r="1429" spans="1:5" ht="16.5" x14ac:dyDescent="0.2">
      <c r="A1429" s="22"/>
      <c r="B1429" s="49"/>
      <c r="C1429" s="40" t="str">
        <f>IFERROR(VLOOKUP(B1429,'Rekap Stock Barang'!$A$7:$G$153,2,0),"")</f>
        <v/>
      </c>
      <c r="D1429" s="49"/>
      <c r="E1429" s="26"/>
    </row>
    <row r="1430" spans="1:5" ht="16.5" x14ac:dyDescent="0.2">
      <c r="A1430" s="22"/>
      <c r="B1430" s="49"/>
      <c r="C1430" s="40" t="str">
        <f>IFERROR(VLOOKUP(B1430,'Rekap Stock Barang'!$A$7:$G$153,2,0),"")</f>
        <v/>
      </c>
      <c r="D1430" s="49"/>
      <c r="E1430" s="26"/>
    </row>
    <row r="1431" spans="1:5" ht="16.5" x14ac:dyDescent="0.2">
      <c r="A1431" s="22"/>
      <c r="B1431" s="49"/>
      <c r="C1431" s="40" t="str">
        <f>IFERROR(VLOOKUP(B1431,'Rekap Stock Barang'!$A$7:$G$153,2,0),"")</f>
        <v/>
      </c>
      <c r="D1431" s="49"/>
      <c r="E1431" s="26"/>
    </row>
    <row r="1432" spans="1:5" ht="16.5" x14ac:dyDescent="0.2">
      <c r="A1432" s="22"/>
      <c r="B1432" s="49"/>
      <c r="C1432" s="40" t="str">
        <f>IFERROR(VLOOKUP(B1432,'Rekap Stock Barang'!$A$7:$G$153,2,0),"")</f>
        <v/>
      </c>
      <c r="D1432" s="49"/>
      <c r="E1432" s="26"/>
    </row>
    <row r="1433" spans="1:5" ht="16.5" x14ac:dyDescent="0.2">
      <c r="A1433" s="22"/>
      <c r="B1433" s="49"/>
      <c r="C1433" s="40" t="str">
        <f>IFERROR(VLOOKUP(B1433,'Rekap Stock Barang'!$A$7:$G$153,2,0),"")</f>
        <v/>
      </c>
      <c r="D1433" s="49"/>
      <c r="E1433" s="26"/>
    </row>
    <row r="1434" spans="1:5" ht="16.5" x14ac:dyDescent="0.2">
      <c r="A1434" s="22"/>
      <c r="B1434" s="49"/>
      <c r="C1434" s="40" t="str">
        <f>IFERROR(VLOOKUP(B1434,'Rekap Stock Barang'!$A$7:$G$153,2,0),"")</f>
        <v/>
      </c>
      <c r="D1434" s="49"/>
      <c r="E1434" s="26"/>
    </row>
    <row r="1435" spans="1:5" ht="16.5" x14ac:dyDescent="0.2">
      <c r="A1435" s="22"/>
      <c r="B1435" s="49"/>
      <c r="C1435" s="40" t="str">
        <f>IFERROR(VLOOKUP(B1435,'Rekap Stock Barang'!$A$7:$G$153,2,0),"")</f>
        <v/>
      </c>
      <c r="D1435" s="49"/>
      <c r="E1435" s="26"/>
    </row>
    <row r="1436" spans="1:5" ht="16.5" x14ac:dyDescent="0.2">
      <c r="A1436" s="22"/>
      <c r="B1436" s="49"/>
      <c r="C1436" s="40" t="str">
        <f>IFERROR(VLOOKUP(B1436,'Rekap Stock Barang'!$A$7:$G$153,2,0),"")</f>
        <v/>
      </c>
      <c r="D1436" s="49"/>
      <c r="E1436" s="26"/>
    </row>
    <row r="1437" spans="1:5" ht="16.5" x14ac:dyDescent="0.2">
      <c r="A1437" s="22"/>
      <c r="B1437" s="49"/>
      <c r="C1437" s="40" t="str">
        <f>IFERROR(VLOOKUP(B1437,'Rekap Stock Barang'!$A$7:$G$153,2,0),"")</f>
        <v/>
      </c>
      <c r="D1437" s="49"/>
      <c r="E1437" s="26"/>
    </row>
    <row r="1438" spans="1:5" ht="16.5" x14ac:dyDescent="0.2">
      <c r="A1438" s="22"/>
      <c r="B1438" s="49"/>
      <c r="C1438" s="40" t="str">
        <f>IFERROR(VLOOKUP(B1438,'Rekap Stock Barang'!$A$7:$G$153,2,0),"")</f>
        <v/>
      </c>
      <c r="D1438" s="49"/>
      <c r="E1438" s="26"/>
    </row>
    <row r="1439" spans="1:5" ht="16.5" x14ac:dyDescent="0.2">
      <c r="A1439" s="22"/>
      <c r="B1439" s="49"/>
      <c r="C1439" s="40" t="str">
        <f>IFERROR(VLOOKUP(B1439,'Rekap Stock Barang'!$A$7:$G$153,2,0),"")</f>
        <v/>
      </c>
      <c r="D1439" s="49"/>
      <c r="E1439" s="26"/>
    </row>
    <row r="1440" spans="1:5" ht="16.5" x14ac:dyDescent="0.2">
      <c r="A1440" s="22"/>
      <c r="B1440" s="49"/>
      <c r="C1440" s="40" t="str">
        <f>IFERROR(VLOOKUP(B1440,'Rekap Stock Barang'!$A$7:$G$153,2,0),"")</f>
        <v/>
      </c>
      <c r="D1440" s="49"/>
      <c r="E1440" s="26"/>
    </row>
    <row r="1441" spans="1:5" ht="16.5" x14ac:dyDescent="0.2">
      <c r="A1441" s="22"/>
      <c r="B1441" s="49"/>
      <c r="C1441" s="40" t="str">
        <f>IFERROR(VLOOKUP(B1441,'Rekap Stock Barang'!$A$7:$G$153,2,0),"")</f>
        <v/>
      </c>
      <c r="D1441" s="49"/>
      <c r="E1441" s="26"/>
    </row>
    <row r="1442" spans="1:5" ht="16.5" x14ac:dyDescent="0.2">
      <c r="A1442" s="22"/>
      <c r="B1442" s="49"/>
      <c r="C1442" s="40" t="str">
        <f>IFERROR(VLOOKUP(B1442,'Rekap Stock Barang'!$A$7:$G$153,2,0),"")</f>
        <v/>
      </c>
      <c r="D1442" s="49"/>
      <c r="E1442" s="26"/>
    </row>
    <row r="1443" spans="1:5" ht="16.5" x14ac:dyDescent="0.2">
      <c r="A1443" s="22"/>
      <c r="B1443" s="49"/>
      <c r="C1443" s="40" t="str">
        <f>IFERROR(VLOOKUP(B1443,'Rekap Stock Barang'!$A$7:$G$153,2,0),"")</f>
        <v/>
      </c>
      <c r="D1443" s="49"/>
      <c r="E1443" s="26"/>
    </row>
    <row r="1444" spans="1:5" ht="16.5" x14ac:dyDescent="0.2">
      <c r="A1444" s="22"/>
      <c r="B1444" s="49"/>
      <c r="C1444" s="40" t="str">
        <f>IFERROR(VLOOKUP(B1444,'Rekap Stock Barang'!$A$7:$G$153,2,0),"")</f>
        <v/>
      </c>
      <c r="D1444" s="49"/>
      <c r="E1444" s="26"/>
    </row>
    <row r="1445" spans="1:5" ht="16.5" x14ac:dyDescent="0.2">
      <c r="A1445" s="22"/>
      <c r="B1445" s="49"/>
      <c r="C1445" s="40" t="str">
        <f>IFERROR(VLOOKUP(B1445,'Rekap Stock Barang'!$A$7:$G$153,2,0),"")</f>
        <v/>
      </c>
      <c r="D1445" s="49"/>
      <c r="E1445" s="26"/>
    </row>
    <row r="1446" spans="1:5" ht="16.5" x14ac:dyDescent="0.2">
      <c r="A1446" s="22"/>
      <c r="B1446" s="49"/>
      <c r="C1446" s="40" t="str">
        <f>IFERROR(VLOOKUP(B1446,'Rekap Stock Barang'!$A$7:$G$153,2,0),"")</f>
        <v/>
      </c>
      <c r="D1446" s="49"/>
      <c r="E1446" s="26"/>
    </row>
    <row r="1447" spans="1:5" ht="16.5" x14ac:dyDescent="0.2">
      <c r="A1447" s="22"/>
      <c r="B1447" s="49"/>
      <c r="C1447" s="40" t="str">
        <f>IFERROR(VLOOKUP(B1447,'Rekap Stock Barang'!$A$7:$G$153,2,0),"")</f>
        <v/>
      </c>
      <c r="D1447" s="49"/>
      <c r="E1447" s="26"/>
    </row>
    <row r="1448" spans="1:5" ht="16.5" x14ac:dyDescent="0.2">
      <c r="A1448" s="22"/>
      <c r="B1448" s="49"/>
      <c r="C1448" s="40" t="str">
        <f>IFERROR(VLOOKUP(B1448,'Rekap Stock Barang'!$A$7:$G$153,2,0),"")</f>
        <v/>
      </c>
      <c r="D1448" s="49"/>
      <c r="E1448" s="26"/>
    </row>
    <row r="1449" spans="1:5" ht="16.5" x14ac:dyDescent="0.2">
      <c r="A1449" s="22"/>
      <c r="B1449" s="49"/>
      <c r="C1449" s="40" t="str">
        <f>IFERROR(VLOOKUP(B1449,'Rekap Stock Barang'!$A$7:$G$153,2,0),"")</f>
        <v/>
      </c>
      <c r="D1449" s="49"/>
      <c r="E1449" s="26"/>
    </row>
    <row r="1450" spans="1:5" ht="16.5" x14ac:dyDescent="0.2">
      <c r="A1450" s="22"/>
      <c r="B1450" s="49"/>
      <c r="C1450" s="40" t="str">
        <f>IFERROR(VLOOKUP(B1450,'Rekap Stock Barang'!$A$7:$G$153,2,0),"")</f>
        <v/>
      </c>
      <c r="D1450" s="49"/>
      <c r="E1450" s="26"/>
    </row>
    <row r="1451" spans="1:5" ht="16.5" x14ac:dyDescent="0.2">
      <c r="A1451" s="22"/>
      <c r="B1451" s="49"/>
      <c r="C1451" s="40" t="str">
        <f>IFERROR(VLOOKUP(B1451,'Rekap Stock Barang'!$A$7:$G$153,2,0),"")</f>
        <v/>
      </c>
      <c r="D1451" s="49"/>
      <c r="E1451" s="26"/>
    </row>
    <row r="1452" spans="1:5" ht="16.5" x14ac:dyDescent="0.2">
      <c r="A1452" s="22"/>
      <c r="B1452" s="49"/>
      <c r="C1452" s="40" t="str">
        <f>IFERROR(VLOOKUP(B1452,'Rekap Stock Barang'!$A$7:$G$153,2,0),"")</f>
        <v/>
      </c>
      <c r="D1452" s="49"/>
      <c r="E1452" s="26"/>
    </row>
    <row r="1453" spans="1:5" ht="16.5" x14ac:dyDescent="0.2">
      <c r="A1453" s="22"/>
      <c r="B1453" s="49"/>
      <c r="C1453" s="40" t="str">
        <f>IFERROR(VLOOKUP(B1453,'Rekap Stock Barang'!$A$7:$G$153,2,0),"")</f>
        <v/>
      </c>
      <c r="D1453" s="49"/>
      <c r="E1453" s="26"/>
    </row>
    <row r="1454" spans="1:5" ht="16.5" x14ac:dyDescent="0.2">
      <c r="A1454" s="22"/>
      <c r="B1454" s="49"/>
      <c r="C1454" s="40" t="str">
        <f>IFERROR(VLOOKUP(B1454,'Rekap Stock Barang'!$A$7:$G$153,2,0),"")</f>
        <v/>
      </c>
      <c r="D1454" s="49"/>
      <c r="E1454" s="26"/>
    </row>
    <row r="1455" spans="1:5" ht="16.5" x14ac:dyDescent="0.2">
      <c r="A1455" s="22"/>
      <c r="B1455" s="49"/>
      <c r="C1455" s="40" t="str">
        <f>IFERROR(VLOOKUP(B1455,'Rekap Stock Barang'!$A$7:$G$153,2,0),"")</f>
        <v/>
      </c>
      <c r="D1455" s="49"/>
      <c r="E1455" s="26"/>
    </row>
    <row r="1456" spans="1:5" ht="16.5" x14ac:dyDescent="0.2">
      <c r="A1456" s="22"/>
      <c r="B1456" s="49"/>
      <c r="C1456" s="40" t="str">
        <f>IFERROR(VLOOKUP(B1456,'Rekap Stock Barang'!$A$7:$G$153,2,0),"")</f>
        <v/>
      </c>
      <c r="D1456" s="49"/>
      <c r="E1456" s="26"/>
    </row>
    <row r="1457" spans="1:5" ht="16.5" x14ac:dyDescent="0.2">
      <c r="A1457" s="22"/>
      <c r="B1457" s="49"/>
      <c r="C1457" s="40" t="str">
        <f>IFERROR(VLOOKUP(B1457,'Rekap Stock Barang'!$A$7:$G$153,2,0),"")</f>
        <v/>
      </c>
      <c r="D1457" s="49"/>
      <c r="E1457" s="26"/>
    </row>
    <row r="1458" spans="1:5" ht="16.5" x14ac:dyDescent="0.2">
      <c r="A1458" s="22"/>
      <c r="B1458" s="49"/>
      <c r="C1458" s="40" t="str">
        <f>IFERROR(VLOOKUP(B1458,'Rekap Stock Barang'!$A$7:$G$153,2,0),"")</f>
        <v/>
      </c>
      <c r="D1458" s="49"/>
      <c r="E1458" s="26"/>
    </row>
    <row r="1459" spans="1:5" ht="16.5" x14ac:dyDescent="0.2">
      <c r="A1459" s="22"/>
      <c r="B1459" s="49"/>
      <c r="C1459" s="40" t="str">
        <f>IFERROR(VLOOKUP(B1459,'Rekap Stock Barang'!$A$7:$G$153,2,0),"")</f>
        <v/>
      </c>
      <c r="D1459" s="49"/>
      <c r="E1459" s="26"/>
    </row>
    <row r="1460" spans="1:5" ht="16.5" x14ac:dyDescent="0.2">
      <c r="A1460" s="22"/>
      <c r="B1460" s="49"/>
      <c r="C1460" s="40" t="str">
        <f>IFERROR(VLOOKUP(B1460,'Rekap Stock Barang'!$A$7:$G$153,2,0),"")</f>
        <v/>
      </c>
      <c r="D1460" s="49"/>
      <c r="E1460" s="26"/>
    </row>
    <row r="1461" spans="1:5" ht="16.5" x14ac:dyDescent="0.2">
      <c r="A1461" s="22"/>
      <c r="B1461" s="49"/>
      <c r="C1461" s="40" t="str">
        <f>IFERROR(VLOOKUP(B1461,'Rekap Stock Barang'!$A$7:$G$153,2,0),"")</f>
        <v/>
      </c>
      <c r="D1461" s="49"/>
      <c r="E1461" s="26"/>
    </row>
    <row r="1462" spans="1:5" ht="16.5" x14ac:dyDescent="0.2">
      <c r="A1462" s="22"/>
      <c r="B1462" s="49"/>
      <c r="C1462" s="40" t="str">
        <f>IFERROR(VLOOKUP(B1462,'Rekap Stock Barang'!$A$7:$G$153,2,0),"")</f>
        <v/>
      </c>
      <c r="D1462" s="49"/>
      <c r="E1462" s="26"/>
    </row>
    <row r="1463" spans="1:5" ht="16.5" x14ac:dyDescent="0.2">
      <c r="A1463" s="22"/>
      <c r="B1463" s="49"/>
      <c r="C1463" s="40" t="str">
        <f>IFERROR(VLOOKUP(B1463,'Rekap Stock Barang'!$A$7:$G$153,2,0),"")</f>
        <v/>
      </c>
      <c r="D1463" s="49"/>
      <c r="E1463" s="26"/>
    </row>
    <row r="1464" spans="1:5" ht="16.5" x14ac:dyDescent="0.2">
      <c r="A1464" s="22"/>
      <c r="B1464" s="49"/>
      <c r="C1464" s="40" t="str">
        <f>IFERROR(VLOOKUP(B1464,'Rekap Stock Barang'!$A$7:$G$153,2,0),"")</f>
        <v/>
      </c>
      <c r="D1464" s="49"/>
      <c r="E1464" s="26"/>
    </row>
    <row r="1465" spans="1:5" ht="16.5" x14ac:dyDescent="0.2">
      <c r="A1465" s="22"/>
      <c r="B1465" s="49"/>
      <c r="C1465" s="40" t="str">
        <f>IFERROR(VLOOKUP(B1465,'Rekap Stock Barang'!$A$7:$G$153,2,0),"")</f>
        <v/>
      </c>
      <c r="D1465" s="49"/>
      <c r="E1465" s="26"/>
    </row>
    <row r="1466" spans="1:5" ht="16.5" x14ac:dyDescent="0.2">
      <c r="A1466" s="22"/>
      <c r="B1466" s="49"/>
      <c r="C1466" s="40" t="str">
        <f>IFERROR(VLOOKUP(B1466,'Rekap Stock Barang'!$A$7:$G$153,2,0),"")</f>
        <v/>
      </c>
      <c r="D1466" s="49"/>
      <c r="E1466" s="26"/>
    </row>
    <row r="1467" spans="1:5" ht="16.5" x14ac:dyDescent="0.2">
      <c r="A1467" s="22"/>
      <c r="B1467" s="49"/>
      <c r="C1467" s="40" t="str">
        <f>IFERROR(VLOOKUP(B1467,'Rekap Stock Barang'!$A$7:$G$153,2,0),"")</f>
        <v/>
      </c>
      <c r="D1467" s="49"/>
      <c r="E1467" s="26"/>
    </row>
    <row r="1468" spans="1:5" ht="16.5" x14ac:dyDescent="0.2">
      <c r="A1468" s="22"/>
      <c r="B1468" s="49"/>
      <c r="C1468" s="40" t="str">
        <f>IFERROR(VLOOKUP(B1468,'Rekap Stock Barang'!$A$7:$G$153,2,0),"")</f>
        <v/>
      </c>
      <c r="D1468" s="49"/>
      <c r="E1468" s="26"/>
    </row>
    <row r="1469" spans="1:5" ht="16.5" x14ac:dyDescent="0.2">
      <c r="A1469" s="22"/>
      <c r="B1469" s="49"/>
      <c r="C1469" s="40" t="str">
        <f>IFERROR(VLOOKUP(B1469,'Rekap Stock Barang'!$A$7:$G$153,2,0),"")</f>
        <v/>
      </c>
      <c r="D1469" s="49"/>
      <c r="E1469" s="26"/>
    </row>
    <row r="1470" spans="1:5" ht="16.5" x14ac:dyDescent="0.2">
      <c r="A1470" s="22"/>
      <c r="B1470" s="49"/>
      <c r="C1470" s="40" t="str">
        <f>IFERROR(VLOOKUP(B1470,'Rekap Stock Barang'!$A$7:$G$153,2,0),"")</f>
        <v/>
      </c>
      <c r="D1470" s="49"/>
      <c r="E1470" s="26"/>
    </row>
    <row r="1471" spans="1:5" ht="16.5" x14ac:dyDescent="0.2">
      <c r="A1471" s="22"/>
      <c r="B1471" s="49"/>
      <c r="C1471" s="40" t="str">
        <f>IFERROR(VLOOKUP(B1471,'Rekap Stock Barang'!$A$7:$G$153,2,0),"")</f>
        <v/>
      </c>
      <c r="D1471" s="49"/>
      <c r="E1471" s="26"/>
    </row>
    <row r="1472" spans="1:5" ht="16.5" x14ac:dyDescent="0.2">
      <c r="A1472" s="22"/>
      <c r="B1472" s="49"/>
      <c r="C1472" s="40" t="str">
        <f>IFERROR(VLOOKUP(B1472,'Rekap Stock Barang'!$A$7:$G$153,2,0),"")</f>
        <v/>
      </c>
      <c r="D1472" s="49"/>
      <c r="E1472" s="26"/>
    </row>
    <row r="1473" spans="1:5" ht="16.5" x14ac:dyDescent="0.2">
      <c r="A1473" s="22"/>
      <c r="B1473" s="49"/>
      <c r="C1473" s="40" t="str">
        <f>IFERROR(VLOOKUP(B1473,'Rekap Stock Barang'!$A$7:$G$153,2,0),"")</f>
        <v/>
      </c>
      <c r="D1473" s="49"/>
      <c r="E1473" s="26"/>
    </row>
    <row r="1474" spans="1:5" ht="16.5" x14ac:dyDescent="0.2">
      <c r="A1474" s="22"/>
      <c r="B1474" s="49"/>
      <c r="C1474" s="40" t="str">
        <f>IFERROR(VLOOKUP(B1474,'Rekap Stock Barang'!$A$7:$G$153,2,0),"")</f>
        <v/>
      </c>
      <c r="D1474" s="49"/>
      <c r="E1474" s="26"/>
    </row>
    <row r="1475" spans="1:5" ht="16.5" x14ac:dyDescent="0.2">
      <c r="A1475" s="22"/>
      <c r="B1475" s="49"/>
      <c r="C1475" s="40" t="str">
        <f>IFERROR(VLOOKUP(B1475,'Rekap Stock Barang'!$A$7:$G$153,2,0),"")</f>
        <v/>
      </c>
      <c r="D1475" s="49"/>
      <c r="E1475" s="26"/>
    </row>
    <row r="1476" spans="1:5" ht="16.5" x14ac:dyDescent="0.2">
      <c r="A1476" s="22"/>
      <c r="B1476" s="49"/>
      <c r="C1476" s="40" t="str">
        <f>IFERROR(VLOOKUP(B1476,'Rekap Stock Barang'!$A$7:$G$153,2,0),"")</f>
        <v/>
      </c>
      <c r="D1476" s="49"/>
      <c r="E1476" s="26"/>
    </row>
    <row r="1477" spans="1:5" ht="16.5" x14ac:dyDescent="0.2">
      <c r="A1477" s="22"/>
      <c r="B1477" s="49"/>
      <c r="C1477" s="40" t="str">
        <f>IFERROR(VLOOKUP(B1477,'Rekap Stock Barang'!$A$7:$G$153,2,0),"")</f>
        <v/>
      </c>
      <c r="D1477" s="49"/>
      <c r="E1477" s="26"/>
    </row>
    <row r="1478" spans="1:5" ht="16.5" x14ac:dyDescent="0.2">
      <c r="A1478" s="22"/>
      <c r="B1478" s="49"/>
      <c r="C1478" s="40" t="str">
        <f>IFERROR(VLOOKUP(B1478,'Rekap Stock Barang'!$A$7:$G$153,2,0),"")</f>
        <v/>
      </c>
      <c r="D1478" s="49"/>
      <c r="E1478" s="26"/>
    </row>
    <row r="1479" spans="1:5" ht="16.5" x14ac:dyDescent="0.2">
      <c r="A1479" s="22"/>
      <c r="B1479" s="49"/>
      <c r="C1479" s="40" t="str">
        <f>IFERROR(VLOOKUP(B1479,'Rekap Stock Barang'!$A$7:$G$153,2,0),"")</f>
        <v/>
      </c>
      <c r="D1479" s="49"/>
      <c r="E1479" s="26"/>
    </row>
    <row r="1480" spans="1:5" ht="16.5" x14ac:dyDescent="0.2">
      <c r="A1480" s="22"/>
      <c r="B1480" s="49"/>
      <c r="C1480" s="40" t="str">
        <f>IFERROR(VLOOKUP(B1480,'Rekap Stock Barang'!$A$7:$G$153,2,0),"")</f>
        <v/>
      </c>
      <c r="D1480" s="49"/>
      <c r="E1480" s="26"/>
    </row>
    <row r="1481" spans="1:5" ht="16.5" x14ac:dyDescent="0.2">
      <c r="A1481" s="22"/>
      <c r="B1481" s="49"/>
      <c r="C1481" s="40" t="str">
        <f>IFERROR(VLOOKUP(B1481,'Rekap Stock Barang'!$A$7:$G$153,2,0),"")</f>
        <v/>
      </c>
      <c r="D1481" s="49"/>
      <c r="E1481" s="26"/>
    </row>
    <row r="1482" spans="1:5" ht="16.5" x14ac:dyDescent="0.2">
      <c r="A1482" s="22"/>
      <c r="B1482" s="49"/>
      <c r="C1482" s="40" t="str">
        <f>IFERROR(VLOOKUP(B1482,'Rekap Stock Barang'!$A$7:$G$153,2,0),"")</f>
        <v/>
      </c>
      <c r="D1482" s="49"/>
      <c r="E1482" s="26"/>
    </row>
    <row r="1483" spans="1:5" ht="16.5" x14ac:dyDescent="0.2">
      <c r="A1483" s="22"/>
      <c r="B1483" s="49"/>
      <c r="C1483" s="40" t="str">
        <f>IFERROR(VLOOKUP(B1483,'Rekap Stock Barang'!$A$7:$G$153,2,0),"")</f>
        <v/>
      </c>
      <c r="D1483" s="49"/>
      <c r="E1483" s="26"/>
    </row>
    <row r="1484" spans="1:5" ht="16.5" x14ac:dyDescent="0.2">
      <c r="A1484" s="22"/>
      <c r="B1484" s="49"/>
      <c r="C1484" s="40" t="str">
        <f>IFERROR(VLOOKUP(B1484,'Rekap Stock Barang'!$A$7:$G$153,2,0),"")</f>
        <v/>
      </c>
      <c r="D1484" s="49"/>
      <c r="E1484" s="26"/>
    </row>
    <row r="1485" spans="1:5" ht="16.5" x14ac:dyDescent="0.2">
      <c r="A1485" s="22"/>
      <c r="B1485" s="49"/>
      <c r="C1485" s="40" t="str">
        <f>IFERROR(VLOOKUP(B1485,'Rekap Stock Barang'!$A$7:$G$153,2,0),"")</f>
        <v/>
      </c>
      <c r="D1485" s="49"/>
      <c r="E1485" s="26"/>
    </row>
    <row r="1486" spans="1:5" ht="16.5" x14ac:dyDescent="0.2">
      <c r="A1486" s="22"/>
      <c r="B1486" s="49"/>
      <c r="C1486" s="40" t="str">
        <f>IFERROR(VLOOKUP(B1486,'Rekap Stock Barang'!$A$7:$G$153,2,0),"")</f>
        <v/>
      </c>
      <c r="D1486" s="49"/>
      <c r="E1486" s="26"/>
    </row>
    <row r="1487" spans="1:5" ht="16.5" x14ac:dyDescent="0.2">
      <c r="A1487" s="22"/>
      <c r="B1487" s="49"/>
      <c r="C1487" s="40" t="str">
        <f>IFERROR(VLOOKUP(B1487,'Rekap Stock Barang'!$A$7:$G$153,2,0),"")</f>
        <v/>
      </c>
      <c r="D1487" s="49"/>
      <c r="E1487" s="26"/>
    </row>
    <row r="1488" spans="1:5" ht="16.5" x14ac:dyDescent="0.2">
      <c r="A1488" s="22"/>
      <c r="B1488" s="49"/>
      <c r="C1488" s="40" t="str">
        <f>IFERROR(VLOOKUP(B1488,'Rekap Stock Barang'!$A$7:$G$153,2,0),"")</f>
        <v/>
      </c>
      <c r="D1488" s="49"/>
      <c r="E1488" s="26"/>
    </row>
    <row r="1489" spans="1:5" ht="16.5" x14ac:dyDescent="0.2">
      <c r="A1489" s="22"/>
      <c r="B1489" s="49"/>
      <c r="C1489" s="40" t="str">
        <f>IFERROR(VLOOKUP(B1489,'Rekap Stock Barang'!$A$7:$G$153,2,0),"")</f>
        <v/>
      </c>
      <c r="D1489" s="49"/>
      <c r="E1489" s="26"/>
    </row>
    <row r="1490" spans="1:5" ht="16.5" x14ac:dyDescent="0.2">
      <c r="A1490" s="22"/>
      <c r="B1490" s="49"/>
      <c r="C1490" s="40" t="str">
        <f>IFERROR(VLOOKUP(B1490,'Rekap Stock Barang'!$A$7:$G$153,2,0),"")</f>
        <v/>
      </c>
      <c r="D1490" s="49"/>
      <c r="E1490" s="26"/>
    </row>
    <row r="1491" spans="1:5" ht="16.5" x14ac:dyDescent="0.2">
      <c r="A1491" s="22"/>
      <c r="B1491" s="49"/>
      <c r="C1491" s="40" t="str">
        <f>IFERROR(VLOOKUP(B1491,'Rekap Stock Barang'!$A$7:$G$153,2,0),"")</f>
        <v/>
      </c>
      <c r="D1491" s="49"/>
      <c r="E1491" s="26"/>
    </row>
    <row r="1492" spans="1:5" ht="16.5" x14ac:dyDescent="0.2">
      <c r="A1492" s="22"/>
      <c r="B1492" s="49"/>
      <c r="C1492" s="40" t="str">
        <f>IFERROR(VLOOKUP(B1492,'Rekap Stock Barang'!$A$7:$G$153,2,0),"")</f>
        <v/>
      </c>
      <c r="D1492" s="49"/>
      <c r="E1492" s="26"/>
    </row>
    <row r="1493" spans="1:5" ht="16.5" x14ac:dyDescent="0.2">
      <c r="A1493" s="22"/>
      <c r="B1493" s="49"/>
      <c r="C1493" s="40" t="str">
        <f>IFERROR(VLOOKUP(B1493,'Rekap Stock Barang'!$A$7:$G$153,2,0),"")</f>
        <v/>
      </c>
      <c r="D1493" s="49"/>
      <c r="E1493" s="26"/>
    </row>
    <row r="1494" spans="1:5" ht="16.5" x14ac:dyDescent="0.2">
      <c r="A1494" s="22"/>
      <c r="B1494" s="49"/>
      <c r="C1494" s="40" t="str">
        <f>IFERROR(VLOOKUP(B1494,'Rekap Stock Barang'!$A$7:$G$153,2,0),"")</f>
        <v/>
      </c>
      <c r="D1494" s="49"/>
      <c r="E1494" s="26"/>
    </row>
    <row r="1495" spans="1:5" ht="16.5" x14ac:dyDescent="0.2">
      <c r="A1495" s="22"/>
      <c r="B1495" s="49"/>
      <c r="C1495" s="40" t="str">
        <f>IFERROR(VLOOKUP(B1495,'Rekap Stock Barang'!$A$7:$G$153,2,0),"")</f>
        <v/>
      </c>
      <c r="D1495" s="49"/>
      <c r="E1495" s="26"/>
    </row>
    <row r="1496" spans="1:5" ht="16.5" x14ac:dyDescent="0.2">
      <c r="A1496" s="22"/>
      <c r="B1496" s="49"/>
      <c r="C1496" s="40" t="str">
        <f>IFERROR(VLOOKUP(B1496,'Rekap Stock Barang'!$A$7:$G$153,2,0),"")</f>
        <v/>
      </c>
      <c r="D1496" s="49"/>
      <c r="E1496" s="26"/>
    </row>
    <row r="1497" spans="1:5" ht="16.5" x14ac:dyDescent="0.2">
      <c r="A1497" s="22"/>
      <c r="B1497" s="49"/>
      <c r="C1497" s="40" t="str">
        <f>IFERROR(VLOOKUP(B1497,'Rekap Stock Barang'!$A$7:$G$153,2,0),"")</f>
        <v/>
      </c>
      <c r="D1497" s="49"/>
      <c r="E1497" s="26"/>
    </row>
    <row r="1498" spans="1:5" ht="16.5" x14ac:dyDescent="0.2">
      <c r="A1498" s="22"/>
      <c r="B1498" s="49"/>
      <c r="C1498" s="40" t="str">
        <f>IFERROR(VLOOKUP(B1498,'Rekap Stock Barang'!$A$7:$G$153,2,0),"")</f>
        <v/>
      </c>
      <c r="D1498" s="49"/>
      <c r="E1498" s="26"/>
    </row>
    <row r="1499" spans="1:5" ht="16.5" x14ac:dyDescent="0.2">
      <c r="A1499" s="22"/>
      <c r="B1499" s="49"/>
      <c r="C1499" s="40" t="str">
        <f>IFERROR(VLOOKUP(B1499,'Rekap Stock Barang'!$A$7:$G$153,2,0),"")</f>
        <v/>
      </c>
      <c r="D1499" s="49"/>
      <c r="E1499" s="26"/>
    </row>
    <row r="1500" spans="1:5" ht="16.5" x14ac:dyDescent="0.2">
      <c r="A1500" s="22"/>
      <c r="B1500" s="49"/>
      <c r="C1500" s="40" t="str">
        <f>IFERROR(VLOOKUP(B1500,'Rekap Stock Barang'!$A$7:$G$153,2,0),"")</f>
        <v/>
      </c>
      <c r="D1500" s="49"/>
      <c r="E1500" s="26"/>
    </row>
    <row r="1501" spans="1:5" ht="16.5" x14ac:dyDescent="0.2">
      <c r="A1501" s="22"/>
      <c r="B1501" s="49"/>
      <c r="C1501" s="40" t="str">
        <f>IFERROR(VLOOKUP(B1501,'Rekap Stock Barang'!$A$7:$G$153,2,0),"")</f>
        <v/>
      </c>
      <c r="D1501" s="49"/>
      <c r="E1501" s="26"/>
    </row>
    <row r="1502" spans="1:5" ht="16.5" x14ac:dyDescent="0.2">
      <c r="A1502" s="22"/>
      <c r="B1502" s="49"/>
      <c r="C1502" s="40" t="str">
        <f>IFERROR(VLOOKUP(B1502,'Rekap Stock Barang'!$A$7:$G$153,2,0),"")</f>
        <v/>
      </c>
      <c r="D1502" s="49"/>
      <c r="E1502" s="26"/>
    </row>
    <row r="1503" spans="1:5" ht="16.5" x14ac:dyDescent="0.2">
      <c r="A1503" s="22"/>
      <c r="B1503" s="49"/>
      <c r="C1503" s="40" t="str">
        <f>IFERROR(VLOOKUP(B1503,'Rekap Stock Barang'!$A$7:$G$153,2,0),"")</f>
        <v/>
      </c>
      <c r="D1503" s="49"/>
      <c r="E1503" s="26"/>
    </row>
    <row r="1504" spans="1:5" ht="16.5" x14ac:dyDescent="0.2">
      <c r="A1504" s="22"/>
      <c r="B1504" s="49"/>
      <c r="C1504" s="40" t="str">
        <f>IFERROR(VLOOKUP(B1504,'Rekap Stock Barang'!$A$7:$G$153,2,0),"")</f>
        <v/>
      </c>
      <c r="D1504" s="49"/>
      <c r="E1504" s="26"/>
    </row>
    <row r="1505" spans="1:5" ht="16.5" x14ac:dyDescent="0.2">
      <c r="A1505" s="22"/>
      <c r="B1505" s="49"/>
      <c r="C1505" s="40" t="str">
        <f>IFERROR(VLOOKUP(B1505,'Rekap Stock Barang'!$A$7:$G$153,2,0),"")</f>
        <v/>
      </c>
      <c r="D1505" s="49"/>
      <c r="E1505" s="26"/>
    </row>
    <row r="1506" spans="1:5" ht="16.5" x14ac:dyDescent="0.2">
      <c r="A1506" s="22"/>
      <c r="B1506" s="49"/>
      <c r="C1506" s="40" t="str">
        <f>IFERROR(VLOOKUP(B1506,'Rekap Stock Barang'!$A$7:$G$153,2,0),"")</f>
        <v/>
      </c>
      <c r="D1506" s="49"/>
      <c r="E1506" s="26"/>
    </row>
    <row r="1507" spans="1:5" ht="16.5" x14ac:dyDescent="0.2">
      <c r="A1507" s="22"/>
      <c r="B1507" s="49"/>
      <c r="C1507" s="40" t="str">
        <f>IFERROR(VLOOKUP(B1507,'Rekap Stock Barang'!$A$7:$G$153,2,0),"")</f>
        <v/>
      </c>
      <c r="D1507" s="49"/>
      <c r="E1507" s="26"/>
    </row>
    <row r="1508" spans="1:5" ht="16.5" x14ac:dyDescent="0.2">
      <c r="A1508" s="22"/>
      <c r="B1508" s="49"/>
      <c r="C1508" s="40" t="str">
        <f>IFERROR(VLOOKUP(B1508,'Rekap Stock Barang'!$A$7:$G$153,2,0),"")</f>
        <v/>
      </c>
      <c r="D1508" s="49"/>
      <c r="E1508" s="26"/>
    </row>
    <row r="1509" spans="1:5" ht="16.5" x14ac:dyDescent="0.2">
      <c r="A1509" s="22"/>
      <c r="B1509" s="50"/>
      <c r="C1509" s="40" t="str">
        <f>IFERROR(VLOOKUP(B1509,'Rekap Stock Barang'!$A$7:$G$153,2,0),"")</f>
        <v/>
      </c>
      <c r="D1509" s="51"/>
      <c r="E1509" s="26"/>
    </row>
    <row r="1510" spans="1:5" ht="16.5" x14ac:dyDescent="0.2">
      <c r="A1510" s="22"/>
      <c r="B1510" s="31"/>
      <c r="C1510" s="40" t="str">
        <f>IFERROR(VLOOKUP(B1510,'Rekap Stock Barang'!$A$7:$G$153,2,0),"")</f>
        <v/>
      </c>
      <c r="D1510" s="32"/>
      <c r="E1510" s="26"/>
    </row>
    <row r="1511" spans="1:5" ht="16.5" x14ac:dyDescent="0.2">
      <c r="A1511" s="22"/>
      <c r="B1511" s="31"/>
      <c r="C1511" s="40" t="str">
        <f>IFERROR(VLOOKUP(B1511,'Rekap Stock Barang'!$A$7:$G$153,2,0),"")</f>
        <v/>
      </c>
      <c r="D1511" s="32"/>
      <c r="E1511" s="26"/>
    </row>
    <row r="1512" spans="1:5" ht="16.5" x14ac:dyDescent="0.2">
      <c r="A1512" s="22"/>
      <c r="B1512" s="31"/>
      <c r="C1512" s="40" t="str">
        <f>IFERROR(VLOOKUP(B1512,'Rekap Stock Barang'!$A$7:$G$153,2,0),"")</f>
        <v/>
      </c>
      <c r="D1512" s="32"/>
      <c r="E1512" s="26"/>
    </row>
    <row r="1513" spans="1:5" ht="16.5" x14ac:dyDescent="0.2">
      <c r="A1513" s="22"/>
      <c r="B1513" s="31"/>
      <c r="C1513" s="40" t="str">
        <f>IFERROR(VLOOKUP(B1513,'Rekap Stock Barang'!$A$7:$G$153,2,0),"")</f>
        <v/>
      </c>
      <c r="D1513" s="32"/>
      <c r="E1513" s="26"/>
    </row>
    <row r="1514" spans="1:5" ht="16.5" x14ac:dyDescent="0.2">
      <c r="A1514" s="22"/>
      <c r="B1514" s="31"/>
      <c r="C1514" s="40" t="str">
        <f>IFERROR(VLOOKUP(B1514,'Rekap Stock Barang'!$A$7:$G$153,2,0),"")</f>
        <v/>
      </c>
      <c r="D1514" s="32"/>
      <c r="E1514" s="26"/>
    </row>
    <row r="1515" spans="1:5" ht="16.5" x14ac:dyDescent="0.2">
      <c r="A1515" s="22"/>
      <c r="B1515" s="31"/>
      <c r="C1515" s="40" t="str">
        <f>IFERROR(VLOOKUP(B1515,'Rekap Stock Barang'!$A$7:$G$153,2,0),"")</f>
        <v/>
      </c>
      <c r="D1515" s="32"/>
      <c r="E1515" s="26"/>
    </row>
    <row r="1516" spans="1:5" ht="16.5" x14ac:dyDescent="0.2">
      <c r="A1516" s="22"/>
      <c r="B1516" s="31"/>
      <c r="C1516" s="40" t="str">
        <f>IFERROR(VLOOKUP(B1516,'Rekap Stock Barang'!$A$7:$G$153,2,0),"")</f>
        <v/>
      </c>
      <c r="D1516" s="32"/>
      <c r="E1516" s="26"/>
    </row>
    <row r="1517" spans="1:5" ht="16.5" x14ac:dyDescent="0.2">
      <c r="A1517" s="22"/>
      <c r="B1517" s="31"/>
      <c r="C1517" s="40" t="str">
        <f>IFERROR(VLOOKUP(B1517,'Rekap Stock Barang'!$A$7:$G$153,2,0),"")</f>
        <v/>
      </c>
      <c r="D1517" s="31"/>
      <c r="E1517" s="26"/>
    </row>
    <row r="1518" spans="1:5" ht="16.5" x14ac:dyDescent="0.2">
      <c r="A1518" s="22"/>
      <c r="B1518" s="31"/>
      <c r="C1518" s="40" t="str">
        <f>IFERROR(VLOOKUP(B1518,'Rekap Stock Barang'!$A$7:$G$153,2,0),"")</f>
        <v/>
      </c>
      <c r="D1518" s="31"/>
      <c r="E1518" s="26"/>
    </row>
    <row r="1519" spans="1:5" ht="16.5" x14ac:dyDescent="0.2">
      <c r="A1519" s="22"/>
      <c r="B1519" s="31"/>
      <c r="C1519" s="40" t="str">
        <f>IFERROR(VLOOKUP(B1519,'Rekap Stock Barang'!$A$7:$G$153,2,0),"")</f>
        <v/>
      </c>
      <c r="D1519" s="31"/>
      <c r="E1519" s="26"/>
    </row>
    <row r="1520" spans="1:5" ht="16.5" x14ac:dyDescent="0.2">
      <c r="A1520" s="22"/>
      <c r="B1520" s="31"/>
      <c r="C1520" s="40" t="str">
        <f>IFERROR(VLOOKUP(B1520,'Rekap Stock Barang'!$A$7:$G$153,2,0),"")</f>
        <v/>
      </c>
      <c r="D1520" s="31"/>
      <c r="E1520" s="26"/>
    </row>
    <row r="1521" spans="1:5" ht="16.5" x14ac:dyDescent="0.2">
      <c r="A1521" s="22"/>
      <c r="B1521" s="31"/>
      <c r="C1521" s="40" t="str">
        <f>IFERROR(VLOOKUP(B1521,'Rekap Stock Barang'!$A$7:$G$153,2,0),"")</f>
        <v/>
      </c>
      <c r="D1521" s="31"/>
      <c r="E1521" s="26"/>
    </row>
    <row r="1522" spans="1:5" ht="16.5" x14ac:dyDescent="0.2">
      <c r="A1522" s="22"/>
      <c r="B1522" s="31"/>
      <c r="C1522" s="40" t="str">
        <f>IFERROR(VLOOKUP(B1522,'Rekap Stock Barang'!$A$7:$G$153,2,0),"")</f>
        <v/>
      </c>
      <c r="D1522" s="31"/>
      <c r="E1522" s="26"/>
    </row>
    <row r="1523" spans="1:5" ht="16.5" x14ac:dyDescent="0.2">
      <c r="A1523" s="22"/>
      <c r="B1523" s="36"/>
      <c r="C1523" s="40" t="str">
        <f>IFERROR(VLOOKUP(B1523,'Rekap Stock Barang'!$A$7:$G$153,2,0),"")</f>
        <v/>
      </c>
      <c r="D1523" s="36"/>
      <c r="E1523" s="26"/>
    </row>
    <row r="1524" spans="1:5" ht="16.5" x14ac:dyDescent="0.2">
      <c r="A1524" s="22"/>
      <c r="B1524" s="36"/>
      <c r="C1524" s="40" t="str">
        <f>IFERROR(VLOOKUP(B1524,'Rekap Stock Barang'!$A$7:$G$153,2,0),"")</f>
        <v/>
      </c>
      <c r="D1524" s="36"/>
      <c r="E1524" s="26"/>
    </row>
    <row r="1525" spans="1:5" ht="16.5" x14ac:dyDescent="0.2">
      <c r="A1525" s="22"/>
      <c r="B1525" s="36"/>
      <c r="C1525" s="40" t="str">
        <f>IFERROR(VLOOKUP(B1525,'Rekap Stock Barang'!$A$7:$G$153,2,0),"")</f>
        <v/>
      </c>
      <c r="D1525" s="36"/>
      <c r="E1525" s="26"/>
    </row>
    <row r="1526" spans="1:5" ht="16.5" x14ac:dyDescent="0.2">
      <c r="A1526" s="22"/>
      <c r="B1526" s="36"/>
      <c r="C1526" s="40" t="str">
        <f>IFERROR(VLOOKUP(B1526,'Rekap Stock Barang'!$A$7:$G$153,2,0),"")</f>
        <v/>
      </c>
      <c r="D1526" s="36"/>
      <c r="E1526" s="26"/>
    </row>
    <row r="1527" spans="1:5" ht="16.5" x14ac:dyDescent="0.2">
      <c r="A1527" s="22"/>
      <c r="B1527" s="36"/>
      <c r="C1527" s="40" t="str">
        <f>IFERROR(VLOOKUP(B1527,'Rekap Stock Barang'!$A$7:$G$153,2,0),"")</f>
        <v/>
      </c>
      <c r="D1527" s="36"/>
      <c r="E1527" s="26"/>
    </row>
    <row r="1528" spans="1:5" ht="16.5" x14ac:dyDescent="0.2">
      <c r="A1528" s="22"/>
      <c r="B1528" s="36"/>
      <c r="C1528" s="40" t="str">
        <f>IFERROR(VLOOKUP(B1528,'Rekap Stock Barang'!$A$7:$G$153,2,0),"")</f>
        <v/>
      </c>
      <c r="D1528" s="36"/>
      <c r="E1528" s="26"/>
    </row>
    <row r="1529" spans="1:5" ht="16.5" x14ac:dyDescent="0.2">
      <c r="A1529" s="22"/>
      <c r="B1529" s="36"/>
      <c r="C1529" s="40" t="str">
        <f>IFERROR(VLOOKUP(B1529,'Rekap Stock Barang'!$A$7:$G$153,2,0),"")</f>
        <v/>
      </c>
      <c r="D1529" s="36"/>
      <c r="E1529" s="26"/>
    </row>
    <row r="1530" spans="1:5" ht="16.5" x14ac:dyDescent="0.2">
      <c r="A1530" s="22"/>
      <c r="B1530" s="36"/>
      <c r="C1530" s="40" t="str">
        <f>IFERROR(VLOOKUP(B1530,'Rekap Stock Barang'!$A$7:$G$153,2,0),"")</f>
        <v/>
      </c>
      <c r="D1530" s="36"/>
      <c r="E1530" s="26"/>
    </row>
    <row r="1531" spans="1:5" ht="16.5" x14ac:dyDescent="0.2">
      <c r="A1531" s="22"/>
      <c r="B1531" s="36"/>
      <c r="C1531" s="40" t="str">
        <f>IFERROR(VLOOKUP(B1531,'Rekap Stock Barang'!$A$7:$G$153,2,0),"")</f>
        <v/>
      </c>
      <c r="D1531" s="36"/>
      <c r="E1531" s="26"/>
    </row>
    <row r="1532" spans="1:5" ht="16.5" x14ac:dyDescent="0.2">
      <c r="A1532" s="22"/>
      <c r="B1532" s="36"/>
      <c r="C1532" s="40" t="str">
        <f>IFERROR(VLOOKUP(B1532,'Rekap Stock Barang'!$A$7:$G$153,2,0),"")</f>
        <v/>
      </c>
      <c r="D1532" s="36"/>
      <c r="E1532" s="26"/>
    </row>
    <row r="1533" spans="1:5" ht="16.5" x14ac:dyDescent="0.2">
      <c r="A1533" s="22"/>
      <c r="B1533" s="36"/>
      <c r="C1533" s="40" t="str">
        <f>IFERROR(VLOOKUP(B1533,'Rekap Stock Barang'!$A$7:$G$153,2,0),"")</f>
        <v/>
      </c>
      <c r="D1533" s="36"/>
      <c r="E1533" s="26"/>
    </row>
    <row r="1534" spans="1:5" ht="16.5" x14ac:dyDescent="0.2">
      <c r="A1534" s="22"/>
      <c r="B1534" s="36"/>
      <c r="C1534" s="40" t="str">
        <f>IFERROR(VLOOKUP(B1534,'Rekap Stock Barang'!$A$7:$G$153,2,0),"")</f>
        <v/>
      </c>
      <c r="D1534" s="36"/>
      <c r="E1534" s="26"/>
    </row>
    <row r="1535" spans="1:5" ht="16.5" x14ac:dyDescent="0.2">
      <c r="A1535" s="22"/>
      <c r="B1535" s="36"/>
      <c r="C1535" s="40" t="str">
        <f>IFERROR(VLOOKUP(B1535,'Rekap Stock Barang'!$A$7:$G$153,2,0),"")</f>
        <v/>
      </c>
      <c r="D1535" s="36"/>
      <c r="E1535" s="26"/>
    </row>
    <row r="1536" spans="1:5" ht="16.5" x14ac:dyDescent="0.2">
      <c r="A1536" s="22"/>
      <c r="B1536" s="36"/>
      <c r="C1536" s="40" t="str">
        <f>IFERROR(VLOOKUP(B1536,'Rekap Stock Barang'!$A$7:$G$153,2,0),"")</f>
        <v/>
      </c>
      <c r="D1536" s="36"/>
      <c r="E1536" s="26"/>
    </row>
    <row r="1537" spans="1:5" ht="16.5" x14ac:dyDescent="0.2">
      <c r="A1537" s="22"/>
      <c r="B1537" s="36"/>
      <c r="C1537" s="40" t="str">
        <f>IFERROR(VLOOKUP(B1537,'Rekap Stock Barang'!$A$7:$G$153,2,0),"")</f>
        <v/>
      </c>
      <c r="D1537" s="36"/>
      <c r="E1537" s="26"/>
    </row>
    <row r="1538" spans="1:5" ht="16.5" x14ac:dyDescent="0.2">
      <c r="A1538" s="22"/>
      <c r="B1538" s="36"/>
      <c r="C1538" s="40" t="str">
        <f>IFERROR(VLOOKUP(B1538,'Rekap Stock Barang'!$A$7:$G$153,2,0),"")</f>
        <v/>
      </c>
      <c r="D1538" s="36"/>
      <c r="E1538" s="26"/>
    </row>
    <row r="1539" spans="1:5" ht="16.5" x14ac:dyDescent="0.2">
      <c r="A1539" s="22"/>
      <c r="B1539" s="36"/>
      <c r="C1539" s="40" t="str">
        <f>IFERROR(VLOOKUP(B1539,'Rekap Stock Barang'!$A$7:$G$153,2,0),"")</f>
        <v/>
      </c>
      <c r="D1539" s="36"/>
      <c r="E1539" s="26"/>
    </row>
    <row r="1540" spans="1:5" ht="16.5" x14ac:dyDescent="0.2">
      <c r="A1540" s="22"/>
      <c r="B1540" s="36"/>
      <c r="C1540" s="40" t="str">
        <f>IFERROR(VLOOKUP(B1540,'Rekap Stock Barang'!$A$7:$G$153,2,0),"")</f>
        <v/>
      </c>
      <c r="D1540" s="36"/>
      <c r="E1540" s="26"/>
    </row>
    <row r="1541" spans="1:5" ht="16.5" x14ac:dyDescent="0.2">
      <c r="A1541" s="22"/>
      <c r="B1541" s="36"/>
      <c r="C1541" s="40" t="str">
        <f>IFERROR(VLOOKUP(B1541,'Rekap Stock Barang'!$A$7:$G$153,2,0),"")</f>
        <v/>
      </c>
      <c r="D1541" s="36"/>
      <c r="E1541" s="26"/>
    </row>
    <row r="1542" spans="1:5" ht="16.5" x14ac:dyDescent="0.2">
      <c r="A1542" s="22"/>
      <c r="B1542" s="36"/>
      <c r="C1542" s="40" t="str">
        <f>IFERROR(VLOOKUP(B1542,'Rekap Stock Barang'!$A$7:$G$153,2,0),"")</f>
        <v/>
      </c>
      <c r="D1542" s="36"/>
      <c r="E1542" s="26"/>
    </row>
    <row r="1543" spans="1:5" ht="16.5" x14ac:dyDescent="0.2">
      <c r="A1543" s="22"/>
      <c r="B1543" s="36"/>
      <c r="C1543" s="40" t="str">
        <f>IFERROR(VLOOKUP(B1543,'Rekap Stock Barang'!$A$7:$G$153,2,0),"")</f>
        <v/>
      </c>
      <c r="D1543" s="36"/>
      <c r="E1543" s="26"/>
    </row>
    <row r="1544" spans="1:5" ht="16.5" x14ac:dyDescent="0.2">
      <c r="A1544" s="22"/>
      <c r="B1544" s="36"/>
      <c r="C1544" s="40" t="str">
        <f>IFERROR(VLOOKUP(B1544,'Rekap Stock Barang'!$A$7:$G$153,2,0),"")</f>
        <v/>
      </c>
      <c r="D1544" s="36"/>
      <c r="E1544" s="26"/>
    </row>
    <row r="1545" spans="1:5" ht="16.5" x14ac:dyDescent="0.2">
      <c r="A1545" s="22"/>
      <c r="B1545" s="36"/>
      <c r="C1545" s="40" t="str">
        <f>IFERROR(VLOOKUP(B1545,'Rekap Stock Barang'!$A$7:$G$153,2,0),"")</f>
        <v/>
      </c>
      <c r="D1545" s="36"/>
      <c r="E1545" s="26"/>
    </row>
    <row r="1546" spans="1:5" ht="16.5" x14ac:dyDescent="0.2">
      <c r="A1546" s="22"/>
      <c r="B1546" s="36"/>
      <c r="C1546" s="40" t="str">
        <f>IFERROR(VLOOKUP(B1546,'Rekap Stock Barang'!$A$7:$G$153,2,0),"")</f>
        <v/>
      </c>
      <c r="D1546" s="36"/>
      <c r="E1546" s="26"/>
    </row>
    <row r="1547" spans="1:5" ht="16.5" x14ac:dyDescent="0.2">
      <c r="A1547" s="22"/>
      <c r="B1547" s="36"/>
      <c r="C1547" s="40" t="str">
        <f>IFERROR(VLOOKUP(B1547,'Rekap Stock Barang'!$A$7:$G$153,2,0),"")</f>
        <v/>
      </c>
      <c r="D1547" s="36"/>
      <c r="E1547" s="26"/>
    </row>
    <row r="1548" spans="1:5" ht="16.5" x14ac:dyDescent="0.2">
      <c r="A1548" s="22"/>
      <c r="B1548" s="36"/>
      <c r="C1548" s="40" t="str">
        <f>IFERROR(VLOOKUP(B1548,'Rekap Stock Barang'!$A$7:$G$153,2,0),"")</f>
        <v/>
      </c>
      <c r="D1548" s="36"/>
      <c r="E1548" s="26"/>
    </row>
    <row r="1549" spans="1:5" ht="16.5" x14ac:dyDescent="0.2">
      <c r="A1549" s="22"/>
      <c r="B1549" s="36"/>
      <c r="C1549" s="40" t="str">
        <f>IFERROR(VLOOKUP(B1549,'Rekap Stock Barang'!$A$7:$G$153,2,0),"")</f>
        <v/>
      </c>
      <c r="D1549" s="36"/>
      <c r="E1549" s="26"/>
    </row>
    <row r="1550" spans="1:5" ht="16.5" x14ac:dyDescent="0.2">
      <c r="A1550" s="22"/>
      <c r="B1550" s="36"/>
      <c r="C1550" s="40" t="str">
        <f>IFERROR(VLOOKUP(B1550,'Rekap Stock Barang'!$A$7:$G$153,2,0),"")</f>
        <v/>
      </c>
      <c r="D1550" s="36"/>
      <c r="E1550" s="26"/>
    </row>
    <row r="1551" spans="1:5" ht="16.5" x14ac:dyDescent="0.2">
      <c r="A1551" s="22"/>
      <c r="B1551" s="36"/>
      <c r="C1551" s="40" t="str">
        <f>IFERROR(VLOOKUP(B1551,'Rekap Stock Barang'!$A$7:$G$153,2,0),"")</f>
        <v/>
      </c>
      <c r="D1551" s="36"/>
      <c r="E1551" s="26"/>
    </row>
    <row r="1552" spans="1:5" ht="16.5" x14ac:dyDescent="0.2">
      <c r="A1552" s="22"/>
      <c r="B1552" s="36"/>
      <c r="C1552" s="40" t="str">
        <f>IFERROR(VLOOKUP(B1552,'Rekap Stock Barang'!$A$7:$G$153,2,0),"")</f>
        <v/>
      </c>
      <c r="D1552" s="36"/>
      <c r="E1552" s="26"/>
    </row>
    <row r="1553" spans="1:5" ht="16.5" x14ac:dyDescent="0.2">
      <c r="A1553" s="22"/>
      <c r="B1553" s="35"/>
      <c r="C1553" s="40" t="str">
        <f>IFERROR(VLOOKUP(B1553,'Rekap Stock Barang'!$A$7:$G$153,2,0),"")</f>
        <v/>
      </c>
      <c r="D1553" s="35"/>
      <c r="E1553" s="26"/>
    </row>
    <row r="1554" spans="1:5" ht="16.5" x14ac:dyDescent="0.2">
      <c r="A1554" s="22"/>
      <c r="B1554" s="8"/>
      <c r="C1554" s="40" t="str">
        <f>IFERROR(VLOOKUP(B1554,'Rekap Stock Barang'!$A$7:$G$153,2,0),"")</f>
        <v/>
      </c>
      <c r="D1554" s="8"/>
      <c r="E1554" s="26"/>
    </row>
    <row r="1555" spans="1:5" ht="16.5" x14ac:dyDescent="0.2">
      <c r="A1555" s="22"/>
      <c r="B1555" s="8"/>
      <c r="C1555" s="40" t="str">
        <f>IFERROR(VLOOKUP(B1555,'Rekap Stock Barang'!$A$7:$G$153,2,0),"")</f>
        <v/>
      </c>
      <c r="D1555" s="8"/>
      <c r="E1555" s="26"/>
    </row>
    <row r="1556" spans="1:5" ht="16.5" x14ac:dyDescent="0.2">
      <c r="A1556" s="22"/>
      <c r="B1556" s="8"/>
      <c r="C1556" s="40" t="str">
        <f>IFERROR(VLOOKUP(B1556,'Rekap Stock Barang'!$A$7:$G$153,2,0),"")</f>
        <v/>
      </c>
      <c r="D1556" s="8"/>
      <c r="E1556" s="26"/>
    </row>
    <row r="1557" spans="1:5" ht="16.5" x14ac:dyDescent="0.2">
      <c r="A1557" s="22"/>
      <c r="B1557" s="8"/>
      <c r="C1557" s="40" t="str">
        <f>IFERROR(VLOOKUP(B1557,'Rekap Stock Barang'!$A$7:$G$153,2,0),"")</f>
        <v/>
      </c>
      <c r="D1557" s="8"/>
      <c r="E1557" s="26"/>
    </row>
    <row r="1558" spans="1:5" ht="16.5" x14ac:dyDescent="0.2">
      <c r="A1558" s="22"/>
      <c r="B1558" s="8"/>
      <c r="C1558" s="40" t="str">
        <f>IFERROR(VLOOKUP(B1558,'Rekap Stock Barang'!$A$7:$G$153,2,0),"")</f>
        <v/>
      </c>
      <c r="D1558" s="8"/>
    </row>
    <row r="1559" spans="1:5" ht="16.5" x14ac:dyDescent="0.2">
      <c r="A1559" s="22"/>
      <c r="B1559" s="8"/>
      <c r="C1559" s="40" t="str">
        <f>IFERROR(VLOOKUP(B1559,'Rekap Stock Barang'!$A$7:$G$153,2,0),"")</f>
        <v/>
      </c>
      <c r="D1559" s="8"/>
    </row>
    <row r="1560" spans="1:5" ht="16.5" x14ac:dyDescent="0.2">
      <c r="A1560" s="22"/>
      <c r="B1560" s="23"/>
      <c r="C1560" s="40" t="str">
        <f>IFERROR(VLOOKUP(B1560,'Rekap Stock Barang'!$A$7:$G$153,2,0),"")</f>
        <v/>
      </c>
      <c r="D1560" s="30"/>
    </row>
    <row r="1561" spans="1:5" ht="16.5" x14ac:dyDescent="0.2">
      <c r="A1561" s="22"/>
      <c r="B1561" s="22"/>
      <c r="C1561" s="40" t="str">
        <f>IFERROR(VLOOKUP(B1561,'Rekap Stock Barang'!$A$7:$G$153,2,0),"")</f>
        <v/>
      </c>
      <c r="D1561" s="27"/>
    </row>
    <row r="1562" spans="1:5" ht="16.5" x14ac:dyDescent="0.2">
      <c r="A1562" s="22"/>
      <c r="B1562" s="22"/>
      <c r="C1562" s="40" t="str">
        <f>IFERROR(VLOOKUP(B1562,'Rekap Stock Barang'!$A$7:$G$153,2,0),"")</f>
        <v/>
      </c>
      <c r="D1562" s="27"/>
    </row>
    <row r="1563" spans="1:5" ht="16.5" x14ac:dyDescent="0.2">
      <c r="A1563" s="22"/>
      <c r="B1563" s="22"/>
      <c r="C1563" s="40" t="str">
        <f>IFERROR(VLOOKUP(B1563,'Rekap Stock Barang'!$A$7:$G$153,2,0),"")</f>
        <v/>
      </c>
      <c r="D1563" s="27"/>
    </row>
    <row r="1564" spans="1:5" ht="16.5" x14ac:dyDescent="0.2">
      <c r="A1564" s="22"/>
      <c r="B1564" s="22"/>
      <c r="C1564" s="40" t="str">
        <f>IFERROR(VLOOKUP(B1564,'Rekap Stock Barang'!$A$7:$G$153,2,0),"")</f>
        <v/>
      </c>
      <c r="D1564" s="27"/>
    </row>
    <row r="1565" spans="1:5" ht="16.5" x14ac:dyDescent="0.2">
      <c r="A1565" s="22"/>
      <c r="B1565" s="22"/>
      <c r="C1565" s="40" t="str">
        <f>IFERROR(VLOOKUP(B1565,'Rekap Stock Barang'!$A$7:$G$153,2,0),"")</f>
        <v/>
      </c>
      <c r="D1565" s="27"/>
    </row>
    <row r="1566" spans="1:5" ht="16.5" x14ac:dyDescent="0.2">
      <c r="A1566" s="22"/>
      <c r="B1566" s="22"/>
      <c r="C1566" s="40" t="str">
        <f>IFERROR(VLOOKUP(B1566,'Rekap Stock Barang'!$A$7:$G$153,2,0),"")</f>
        <v/>
      </c>
      <c r="D1566" s="27"/>
    </row>
    <row r="1567" spans="1:5" ht="16.5" x14ac:dyDescent="0.2">
      <c r="A1567" s="22"/>
      <c r="B1567" s="15"/>
      <c r="C1567" s="40" t="str">
        <f>IFERROR(VLOOKUP(B1567,'Rekap Stock Barang'!$A$7:$G$153,2,0),"")</f>
        <v/>
      </c>
      <c r="D1567" s="25"/>
    </row>
    <row r="1568" spans="1:5" ht="16.5" x14ac:dyDescent="0.2">
      <c r="A1568" s="22"/>
      <c r="B1568" s="5"/>
      <c r="C1568" s="40" t="str">
        <f>IFERROR(VLOOKUP(B1568,'Rekap Stock Barang'!$A$7:$G$153,2,0),"")</f>
        <v/>
      </c>
      <c r="D1568" s="17"/>
    </row>
    <row r="1569" spans="1:4" ht="16.5" x14ac:dyDescent="0.2">
      <c r="A1569" s="22"/>
      <c r="B1569" s="5"/>
      <c r="C1569" s="40" t="str">
        <f>IFERROR(VLOOKUP(B1569,'Rekap Stock Barang'!$A$7:$G$153,2,0),"")</f>
        <v/>
      </c>
      <c r="D1569" s="17"/>
    </row>
    <row r="1570" spans="1:4" ht="16.5" x14ac:dyDescent="0.2">
      <c r="A1570" s="22"/>
      <c r="B1570" s="5"/>
      <c r="C1570" s="40" t="str">
        <f>IFERROR(VLOOKUP(B1570,'Rekap Stock Barang'!$A$7:$G$153,2,0),"")</f>
        <v/>
      </c>
      <c r="D1570" s="17"/>
    </row>
    <row r="1571" spans="1:4" ht="16.5" x14ac:dyDescent="0.2">
      <c r="A1571" s="22"/>
      <c r="B1571" s="5"/>
      <c r="C1571" s="40" t="str">
        <f>IFERROR(VLOOKUP(B1571,'Rekap Stock Barang'!$A$7:$G$153,2,0),"")</f>
        <v/>
      </c>
      <c r="D1571" s="17"/>
    </row>
    <row r="1572" spans="1:4" ht="16.5" x14ac:dyDescent="0.2">
      <c r="A1572" s="22"/>
      <c r="B1572" s="5"/>
      <c r="C1572" s="40" t="str">
        <f>IFERROR(VLOOKUP(B1572,'Rekap Stock Barang'!$A$7:$G$153,2,0),"")</f>
        <v/>
      </c>
      <c r="D1572" s="17"/>
    </row>
    <row r="1573" spans="1:4" ht="16.5" x14ac:dyDescent="0.2">
      <c r="A1573" s="22"/>
      <c r="B1573" s="5"/>
      <c r="C1573" s="40" t="str">
        <f>IFERROR(VLOOKUP(B1573,'Rekap Stock Barang'!$A$7:$G$153,2,0),"")</f>
        <v/>
      </c>
      <c r="D1573" s="17"/>
    </row>
    <row r="1574" spans="1:4" ht="16.5" x14ac:dyDescent="0.2">
      <c r="A1574" s="22"/>
      <c r="B1574" s="5"/>
      <c r="C1574" s="40" t="str">
        <f>IFERROR(VLOOKUP(B1574,'Rekap Stock Barang'!$A$7:$G$153,2,0),"")</f>
        <v/>
      </c>
      <c r="D1574" s="17"/>
    </row>
    <row r="1575" spans="1:4" ht="16.5" x14ac:dyDescent="0.2">
      <c r="A1575" s="22"/>
      <c r="B1575" s="5"/>
      <c r="C1575" s="40" t="str">
        <f>IFERROR(VLOOKUP(B1575,'Rekap Stock Barang'!$A$7:$G$153,2,0),"")</f>
        <v/>
      </c>
      <c r="D1575" s="17"/>
    </row>
    <row r="1576" spans="1:4" ht="16.5" x14ac:dyDescent="0.2">
      <c r="A1576" s="22"/>
      <c r="B1576" s="5"/>
      <c r="C1576" s="40" t="str">
        <f>IFERROR(VLOOKUP(B1576,'Rekap Stock Barang'!$A$7:$G$153,2,0),"")</f>
        <v/>
      </c>
      <c r="D1576" s="17"/>
    </row>
    <row r="1577" spans="1:4" ht="16.5" x14ac:dyDescent="0.2">
      <c r="A1577" s="22"/>
      <c r="B1577" s="5"/>
      <c r="C1577" s="40" t="str">
        <f>IFERROR(VLOOKUP(B1577,'Rekap Stock Barang'!$A$7:$G$153,2,0),"")</f>
        <v/>
      </c>
      <c r="D1577" s="17"/>
    </row>
    <row r="1578" spans="1:4" ht="16.5" x14ac:dyDescent="0.2">
      <c r="A1578" s="22"/>
      <c r="B1578" s="5"/>
      <c r="C1578" s="40" t="str">
        <f>IFERROR(VLOOKUP(B1578,'Rekap Stock Barang'!$A$7:$G$153,2,0),"")</f>
        <v/>
      </c>
      <c r="D1578" s="17"/>
    </row>
    <row r="1579" spans="1:4" ht="16.5" x14ac:dyDescent="0.2">
      <c r="A1579" s="22"/>
      <c r="B1579" s="5"/>
      <c r="C1579" s="40" t="str">
        <f>IFERROR(VLOOKUP(B1579,'Rekap Stock Barang'!$A$7:$G$153,2,0),"")</f>
        <v/>
      </c>
      <c r="D1579" s="17"/>
    </row>
    <row r="1580" spans="1:4" ht="16.5" x14ac:dyDescent="0.2">
      <c r="A1580" s="22"/>
      <c r="B1580" s="5"/>
      <c r="C1580" s="40" t="str">
        <f>IFERROR(VLOOKUP(B1580,'Rekap Stock Barang'!$A$7:$G$153,2,0),"")</f>
        <v/>
      </c>
      <c r="D1580" s="17"/>
    </row>
    <row r="1581" spans="1:4" ht="16.5" x14ac:dyDescent="0.2">
      <c r="A1581" s="22"/>
      <c r="B1581" s="5"/>
      <c r="C1581" s="40" t="str">
        <f>IFERROR(VLOOKUP(B1581,'Rekap Stock Barang'!$A$7:$G$153,2,0),"")</f>
        <v/>
      </c>
      <c r="D1581" s="17"/>
    </row>
    <row r="1582" spans="1:4" ht="16.5" x14ac:dyDescent="0.2">
      <c r="A1582" s="22"/>
      <c r="B1582" s="5"/>
      <c r="C1582" s="40" t="str">
        <f>IFERROR(VLOOKUP(B1582,'Rekap Stock Barang'!$A$7:$G$153,2,0),"")</f>
        <v/>
      </c>
      <c r="D1582" s="17"/>
    </row>
    <row r="1583" spans="1:4" ht="16.5" x14ac:dyDescent="0.2">
      <c r="A1583" s="22"/>
      <c r="B1583" s="5"/>
      <c r="C1583" s="40" t="str">
        <f>IFERROR(VLOOKUP(B1583,'Rekap Stock Barang'!$A$7:$G$153,2,0),"")</f>
        <v/>
      </c>
      <c r="D1583" s="17"/>
    </row>
    <row r="1584" spans="1:4" ht="16.5" x14ac:dyDescent="0.2">
      <c r="A1584" s="22"/>
      <c r="B1584" s="5"/>
      <c r="C1584" s="40" t="str">
        <f>IFERROR(VLOOKUP(B1584,'Rekap Stock Barang'!$A$7:$G$153,2,0),"")</f>
        <v/>
      </c>
      <c r="D1584" s="17"/>
    </row>
    <row r="1585" spans="1:4" ht="16.5" x14ac:dyDescent="0.2">
      <c r="A1585" s="22"/>
      <c r="B1585" s="5"/>
      <c r="C1585" s="40" t="str">
        <f>IFERROR(VLOOKUP(B1585,'Rekap Stock Barang'!$A$7:$G$153,2,0),"")</f>
        <v/>
      </c>
      <c r="D1585" s="17"/>
    </row>
    <row r="1586" spans="1:4" ht="16.5" x14ac:dyDescent="0.2">
      <c r="A1586" s="22"/>
      <c r="B1586" s="5"/>
      <c r="C1586" s="40" t="str">
        <f>IFERROR(VLOOKUP(B1586,'Rekap Stock Barang'!$A$7:$G$153,2,0),"")</f>
        <v/>
      </c>
      <c r="D1586" s="17"/>
    </row>
    <row r="1587" spans="1:4" ht="16.5" x14ac:dyDescent="0.2">
      <c r="A1587" s="22"/>
      <c r="B1587" s="5"/>
      <c r="C1587" s="40" t="str">
        <f>IFERROR(VLOOKUP(B1587,'Rekap Stock Barang'!$A$7:$G$153,2,0),"")</f>
        <v/>
      </c>
      <c r="D1587" s="17"/>
    </row>
    <row r="1588" spans="1:4" ht="16.5" x14ac:dyDescent="0.2">
      <c r="A1588" s="22"/>
      <c r="B1588" s="5"/>
      <c r="C1588" s="40" t="str">
        <f>IFERROR(VLOOKUP(B1588,'Rekap Stock Barang'!$A$7:$G$153,2,0),"")</f>
        <v/>
      </c>
      <c r="D1588" s="17"/>
    </row>
    <row r="1589" spans="1:4" ht="16.5" x14ac:dyDescent="0.2">
      <c r="A1589" s="22"/>
      <c r="B1589" s="5"/>
      <c r="C1589" s="40" t="str">
        <f>IFERROR(VLOOKUP(B1589,'Rekap Stock Barang'!$A$7:$G$153,2,0),"")</f>
        <v/>
      </c>
      <c r="D1589" s="17"/>
    </row>
    <row r="1590" spans="1:4" ht="16.5" x14ac:dyDescent="0.2">
      <c r="A1590" s="22"/>
      <c r="B1590" s="5"/>
      <c r="C1590" s="40" t="str">
        <f>IFERROR(VLOOKUP(B1590,'Rekap Stock Barang'!$A$7:$G$153,2,0),"")</f>
        <v/>
      </c>
      <c r="D1590" s="17"/>
    </row>
    <row r="1591" spans="1:4" ht="16.5" x14ac:dyDescent="0.2">
      <c r="A1591" s="22"/>
      <c r="B1591" s="5"/>
      <c r="C1591" s="40" t="str">
        <f>IFERROR(VLOOKUP(B1591,'Rekap Stock Barang'!$A$7:$G$153,2,0),"")</f>
        <v/>
      </c>
      <c r="D1591" s="17"/>
    </row>
    <row r="1592" spans="1:4" ht="16.5" x14ac:dyDescent="0.2">
      <c r="A1592" s="22"/>
      <c r="B1592" s="5"/>
      <c r="C1592" s="40" t="str">
        <f>IFERROR(VLOOKUP(B1592,'Rekap Stock Barang'!$A$7:$G$153,2,0),"")</f>
        <v/>
      </c>
      <c r="D1592" s="17"/>
    </row>
    <row r="1593" spans="1:4" ht="16.5" x14ac:dyDescent="0.2">
      <c r="A1593" s="22"/>
      <c r="B1593" s="5"/>
      <c r="C1593" s="40" t="str">
        <f>IFERROR(VLOOKUP(B1593,'Rekap Stock Barang'!$A$7:$G$153,2,0),"")</f>
        <v/>
      </c>
      <c r="D1593" s="17"/>
    </row>
    <row r="1594" spans="1:4" ht="16.5" x14ac:dyDescent="0.2">
      <c r="A1594" s="22"/>
      <c r="B1594" s="5"/>
      <c r="C1594" s="40" t="str">
        <f>IFERROR(VLOOKUP(B1594,'Rekap Stock Barang'!$A$7:$G$153,2,0),"")</f>
        <v/>
      </c>
      <c r="D1594" s="17"/>
    </row>
    <row r="1595" spans="1:4" ht="16.5" x14ac:dyDescent="0.2">
      <c r="A1595" s="22"/>
      <c r="B1595" s="5"/>
      <c r="C1595" s="40" t="str">
        <f>IFERROR(VLOOKUP(B1595,'Rekap Stock Barang'!$A$7:$G$153,2,0),"")</f>
        <v/>
      </c>
      <c r="D1595" s="17"/>
    </row>
    <row r="1596" spans="1:4" ht="16.5" x14ac:dyDescent="0.2">
      <c r="A1596" s="22"/>
      <c r="B1596" s="5"/>
      <c r="C1596" s="40" t="str">
        <f>IFERROR(VLOOKUP(B1596,'Rekap Stock Barang'!$A$7:$G$153,2,0),"")</f>
        <v/>
      </c>
      <c r="D1596" s="17"/>
    </row>
    <row r="1597" spans="1:4" ht="16.5" x14ac:dyDescent="0.2">
      <c r="A1597" s="22"/>
      <c r="B1597" s="5"/>
      <c r="C1597" s="40" t="str">
        <f>IFERROR(VLOOKUP(B1597,'Rekap Stock Barang'!$A$7:$G$153,2,0),"")</f>
        <v/>
      </c>
      <c r="D1597" s="17"/>
    </row>
    <row r="1598" spans="1:4" ht="16.5" x14ac:dyDescent="0.2">
      <c r="A1598" s="22"/>
      <c r="B1598" s="5"/>
      <c r="C1598" s="40" t="str">
        <f>IFERROR(VLOOKUP(B1598,'Rekap Stock Barang'!$A$7:$G$153,2,0),"")</f>
        <v/>
      </c>
      <c r="D1598" s="17"/>
    </row>
    <row r="1599" spans="1:4" ht="16.5" x14ac:dyDescent="0.2">
      <c r="A1599" s="22"/>
      <c r="B1599" s="5"/>
      <c r="C1599" s="40" t="str">
        <f>IFERROR(VLOOKUP(B1599,'Rekap Stock Barang'!$A$7:$G$153,2,0),"")</f>
        <v/>
      </c>
      <c r="D1599" s="17"/>
    </row>
    <row r="1600" spans="1:4" ht="16.5" x14ac:dyDescent="0.2">
      <c r="A1600" s="22"/>
      <c r="B1600" s="5"/>
      <c r="C1600" s="40" t="str">
        <f>IFERROR(VLOOKUP(B1600,'Rekap Stock Barang'!$A$7:$G$153,2,0),"")</f>
        <v/>
      </c>
      <c r="D1600" s="17"/>
    </row>
    <row r="1601" spans="1:4" ht="16.5" x14ac:dyDescent="0.2">
      <c r="A1601" s="22"/>
      <c r="B1601" s="5"/>
      <c r="C1601" s="40" t="str">
        <f>IFERROR(VLOOKUP(B1601,'Rekap Stock Barang'!$A$7:$G$153,2,0),"")</f>
        <v/>
      </c>
      <c r="D1601" s="17"/>
    </row>
    <row r="1602" spans="1:4" ht="16.5" x14ac:dyDescent="0.2">
      <c r="A1602" s="22"/>
      <c r="B1602" s="5"/>
      <c r="C1602" s="40" t="str">
        <f>IFERROR(VLOOKUP(B1602,'Rekap Stock Barang'!$A$7:$G$153,2,0),"")</f>
        <v/>
      </c>
      <c r="D1602" s="17"/>
    </row>
    <row r="1603" spans="1:4" ht="16.5" x14ac:dyDescent="0.2">
      <c r="A1603" s="22"/>
      <c r="B1603" s="5"/>
      <c r="C1603" s="40" t="str">
        <f>IFERROR(VLOOKUP(B1603,'Rekap Stock Barang'!$A$7:$G$153,2,0),"")</f>
        <v/>
      </c>
      <c r="D1603" s="17"/>
    </row>
    <row r="1604" spans="1:4" ht="16.5" x14ac:dyDescent="0.2">
      <c r="A1604" s="22"/>
      <c r="B1604" s="5"/>
      <c r="C1604" s="40" t="str">
        <f>IFERROR(VLOOKUP(B1604,'Rekap Stock Barang'!$A$7:$G$153,2,0),"")</f>
        <v/>
      </c>
      <c r="D1604" s="17"/>
    </row>
    <row r="1605" spans="1:4" ht="16.5" x14ac:dyDescent="0.2">
      <c r="A1605" s="22"/>
      <c r="B1605" s="5"/>
      <c r="C1605" s="40" t="str">
        <f>IFERROR(VLOOKUP(B1605,'Rekap Stock Barang'!$A$7:$G$153,2,0),"")</f>
        <v/>
      </c>
      <c r="D1605" s="17"/>
    </row>
    <row r="1606" spans="1:4" ht="16.5" x14ac:dyDescent="0.2">
      <c r="A1606" s="22"/>
      <c r="B1606" s="5"/>
      <c r="C1606" s="40" t="str">
        <f>IFERROR(VLOOKUP(B1606,'Rekap Stock Barang'!$A$7:$G$153,2,0),"")</f>
        <v/>
      </c>
      <c r="D1606" s="17"/>
    </row>
    <row r="1607" spans="1:4" ht="16.5" x14ac:dyDescent="0.2">
      <c r="A1607" s="22"/>
      <c r="B1607" s="5"/>
      <c r="C1607" s="40" t="str">
        <f>IFERROR(VLOOKUP(B1607,'Rekap Stock Barang'!$A$7:$G$153,2,0),"")</f>
        <v/>
      </c>
      <c r="D1607" s="17"/>
    </row>
    <row r="1608" spans="1:4" ht="16.5" x14ac:dyDescent="0.2">
      <c r="A1608" s="22"/>
      <c r="B1608" s="5"/>
      <c r="C1608" s="40" t="str">
        <f>IFERROR(VLOOKUP(B1608,'Rekap Stock Barang'!$A$7:$G$153,2,0),"")</f>
        <v/>
      </c>
      <c r="D1608" s="17"/>
    </row>
    <row r="1609" spans="1:4" ht="16.5" x14ac:dyDescent="0.2">
      <c r="A1609" s="22"/>
      <c r="B1609" s="5"/>
      <c r="C1609" s="40" t="str">
        <f>IFERROR(VLOOKUP(B1609,'Rekap Stock Barang'!$A$7:$G$153,2,0),"")</f>
        <v/>
      </c>
      <c r="D1609" s="17"/>
    </row>
    <row r="1610" spans="1:4" ht="16.5" x14ac:dyDescent="0.2">
      <c r="A1610" s="22"/>
      <c r="B1610" s="5"/>
      <c r="C1610" s="40" t="str">
        <f>IFERROR(VLOOKUP(B1610,'Rekap Stock Barang'!$A$7:$G$153,2,0),"")</f>
        <v/>
      </c>
      <c r="D1610" s="17"/>
    </row>
    <row r="1611" spans="1:4" ht="16.5" x14ac:dyDescent="0.2">
      <c r="A1611" s="22"/>
      <c r="B1611" s="5"/>
      <c r="C1611" s="40" t="str">
        <f>IFERROR(VLOOKUP(B1611,'Rekap Stock Barang'!$A$7:$G$153,2,0),"")</f>
        <v/>
      </c>
      <c r="D1611" s="17"/>
    </row>
    <row r="1612" spans="1:4" ht="16.5" x14ac:dyDescent="0.2">
      <c r="A1612" s="22"/>
      <c r="B1612" s="5"/>
      <c r="C1612" s="40" t="str">
        <f>IFERROR(VLOOKUP(B1612,'Rekap Stock Barang'!$A$7:$G$153,2,0),"")</f>
        <v/>
      </c>
      <c r="D1612" s="17"/>
    </row>
    <row r="1613" spans="1:4" ht="16.5" x14ac:dyDescent="0.2">
      <c r="A1613" s="22"/>
      <c r="B1613" s="5"/>
      <c r="C1613" s="40" t="str">
        <f>IFERROR(VLOOKUP(B1613,'Rekap Stock Barang'!$A$7:$G$153,2,0),"")</f>
        <v/>
      </c>
      <c r="D1613" s="17"/>
    </row>
    <row r="1614" spans="1:4" ht="16.5" x14ac:dyDescent="0.2">
      <c r="A1614" s="22"/>
      <c r="B1614" s="5"/>
      <c r="C1614" s="40" t="str">
        <f>IFERROR(VLOOKUP(B1614,'Rekap Stock Barang'!$A$7:$G$153,2,0),"")</f>
        <v/>
      </c>
      <c r="D1614" s="17"/>
    </row>
    <row r="1615" spans="1:4" ht="16.5" x14ac:dyDescent="0.2">
      <c r="A1615" s="22"/>
      <c r="B1615" s="5"/>
      <c r="C1615" s="40" t="str">
        <f>IFERROR(VLOOKUP(B1615,'Rekap Stock Barang'!$A$7:$G$153,2,0),"")</f>
        <v/>
      </c>
      <c r="D1615" s="17"/>
    </row>
    <row r="1616" spans="1:4" ht="16.5" x14ac:dyDescent="0.2">
      <c r="A1616" s="22"/>
      <c r="B1616" s="5"/>
      <c r="C1616" s="40" t="str">
        <f>IFERROR(VLOOKUP(B1616,'Rekap Stock Barang'!$A$7:$G$153,2,0),"")</f>
        <v/>
      </c>
      <c r="D1616" s="17"/>
    </row>
    <row r="1617" spans="1:4" ht="16.5" x14ac:dyDescent="0.2">
      <c r="A1617" s="22"/>
      <c r="B1617" s="5"/>
      <c r="C1617" s="40" t="str">
        <f>IFERROR(VLOOKUP(B1617,'Rekap Stock Barang'!$A$7:$G$153,2,0),"")</f>
        <v/>
      </c>
      <c r="D1617" s="17"/>
    </row>
    <row r="1618" spans="1:4" ht="16.5" x14ac:dyDescent="0.2">
      <c r="A1618" s="22"/>
      <c r="B1618" s="5"/>
      <c r="C1618" s="40" t="str">
        <f>IFERROR(VLOOKUP(B1618,'Rekap Stock Barang'!$A$7:$G$153,2,0),"")</f>
        <v/>
      </c>
      <c r="D1618" s="17"/>
    </row>
    <row r="1619" spans="1:4" ht="16.5" x14ac:dyDescent="0.2">
      <c r="A1619" s="22"/>
      <c r="B1619" s="5"/>
      <c r="C1619" s="40" t="str">
        <f>IFERROR(VLOOKUP(B1619,'Rekap Stock Barang'!$A$7:$G$153,2,0),"")</f>
        <v/>
      </c>
      <c r="D1619" s="17"/>
    </row>
    <row r="1620" spans="1:4" ht="16.5" x14ac:dyDescent="0.2">
      <c r="A1620" s="22"/>
      <c r="B1620" s="5"/>
      <c r="C1620" s="40" t="str">
        <f>IFERROR(VLOOKUP(B1620,'Rekap Stock Barang'!$A$7:$G$153,2,0),"")</f>
        <v/>
      </c>
      <c r="D1620" s="17"/>
    </row>
    <row r="1621" spans="1:4" ht="16.5" x14ac:dyDescent="0.2">
      <c r="A1621" s="22"/>
      <c r="B1621" s="5"/>
      <c r="C1621" s="40" t="str">
        <f>IFERROR(VLOOKUP(B1621,'Rekap Stock Barang'!$A$7:$G$153,2,0),"")</f>
        <v/>
      </c>
      <c r="D1621" s="17"/>
    </row>
    <row r="1622" spans="1:4" ht="16.5" x14ac:dyDescent="0.2">
      <c r="A1622" s="22"/>
      <c r="B1622" s="5"/>
      <c r="C1622" s="40" t="str">
        <f>IFERROR(VLOOKUP(B1622,'Rekap Stock Barang'!$A$7:$G$153,2,0),"")</f>
        <v/>
      </c>
      <c r="D1622" s="17"/>
    </row>
    <row r="1623" spans="1:4" ht="16.5" x14ac:dyDescent="0.2">
      <c r="A1623" s="22"/>
      <c r="B1623" s="5"/>
      <c r="C1623" s="40" t="str">
        <f>IFERROR(VLOOKUP(B1623,'Rekap Stock Barang'!$A$7:$G$153,2,0),"")</f>
        <v/>
      </c>
      <c r="D1623" s="17"/>
    </row>
    <row r="1624" spans="1:4" ht="16.5" x14ac:dyDescent="0.2">
      <c r="A1624" s="22"/>
      <c r="B1624" s="5"/>
      <c r="C1624" s="40" t="str">
        <f>IFERROR(VLOOKUP(B1624,'Rekap Stock Barang'!$A$7:$G$153,2,0),"")</f>
        <v/>
      </c>
      <c r="D1624" s="17"/>
    </row>
    <row r="1625" spans="1:4" ht="16.5" x14ac:dyDescent="0.2">
      <c r="A1625" s="22"/>
      <c r="B1625" s="5"/>
      <c r="C1625" s="40" t="str">
        <f>IFERROR(VLOOKUP(B1625,'Rekap Stock Barang'!$A$7:$G$153,2,0),"")</f>
        <v/>
      </c>
      <c r="D1625" s="17"/>
    </row>
    <row r="1626" spans="1:4" ht="16.5" x14ac:dyDescent="0.2">
      <c r="A1626" s="22"/>
      <c r="B1626" s="5"/>
      <c r="C1626" s="40" t="str">
        <f>IFERROR(VLOOKUP(B1626,'Rekap Stock Barang'!$A$7:$G$153,2,0),"")</f>
        <v/>
      </c>
      <c r="D1626" s="17"/>
    </row>
    <row r="1627" spans="1:4" ht="16.5" x14ac:dyDescent="0.2">
      <c r="A1627" s="22"/>
      <c r="B1627" s="5"/>
      <c r="C1627" s="40" t="str">
        <f>IFERROR(VLOOKUP(B1627,'Rekap Stock Barang'!$A$7:$G$153,2,0),"")</f>
        <v/>
      </c>
      <c r="D1627" s="17"/>
    </row>
    <row r="1628" spans="1:4" ht="16.5" x14ac:dyDescent="0.2">
      <c r="A1628" s="22"/>
      <c r="B1628" s="5"/>
      <c r="C1628" s="40" t="str">
        <f>IFERROR(VLOOKUP(B1628,'Rekap Stock Barang'!$A$7:$G$153,2,0),"")</f>
        <v/>
      </c>
      <c r="D1628" s="17"/>
    </row>
    <row r="1629" spans="1:4" ht="16.5" x14ac:dyDescent="0.2">
      <c r="A1629" s="22"/>
      <c r="B1629" s="5"/>
      <c r="C1629" s="40" t="str">
        <f>IFERROR(VLOOKUP(B1629,'Rekap Stock Barang'!$A$7:$G$153,2,0),"")</f>
        <v/>
      </c>
      <c r="D1629" s="17"/>
    </row>
    <row r="1630" spans="1:4" ht="16.5" x14ac:dyDescent="0.2">
      <c r="A1630" s="22"/>
      <c r="B1630" s="5"/>
      <c r="C1630" s="40" t="str">
        <f>IFERROR(VLOOKUP(B1630,'Rekap Stock Barang'!$A$7:$G$153,2,0),"")</f>
        <v/>
      </c>
      <c r="D1630" s="17"/>
    </row>
    <row r="1631" spans="1:4" ht="16.5" x14ac:dyDescent="0.2">
      <c r="A1631" s="22"/>
      <c r="B1631" s="5"/>
      <c r="C1631" s="40" t="str">
        <f>IFERROR(VLOOKUP(B1631,'Rekap Stock Barang'!$A$7:$G$153,2,0),"")</f>
        <v/>
      </c>
      <c r="D1631" s="17"/>
    </row>
    <row r="1632" spans="1:4" ht="16.5" x14ac:dyDescent="0.2">
      <c r="A1632" s="22"/>
      <c r="B1632" s="5"/>
      <c r="C1632" s="40" t="str">
        <f>IFERROR(VLOOKUP(B1632,'Rekap Stock Barang'!$A$7:$G$153,2,0),"")</f>
        <v/>
      </c>
      <c r="D1632" s="17"/>
    </row>
    <row r="1633" spans="1:4" ht="16.5" x14ac:dyDescent="0.2">
      <c r="A1633" s="22"/>
      <c r="B1633" s="5"/>
      <c r="C1633" s="40" t="str">
        <f>IFERROR(VLOOKUP(B1633,'Rekap Stock Barang'!$A$7:$G$153,2,0),"")</f>
        <v/>
      </c>
      <c r="D1633" s="17"/>
    </row>
    <row r="1634" spans="1:4" ht="16.5" x14ac:dyDescent="0.2">
      <c r="A1634" s="22"/>
      <c r="B1634" s="5"/>
      <c r="C1634" s="40" t="str">
        <f>IFERROR(VLOOKUP(B1634,'Rekap Stock Barang'!$A$7:$G$153,2,0),"")</f>
        <v/>
      </c>
      <c r="D1634" s="17"/>
    </row>
    <row r="1635" spans="1:4" ht="16.5" x14ac:dyDescent="0.2">
      <c r="A1635" s="22"/>
      <c r="B1635" s="5"/>
      <c r="C1635" s="40" t="str">
        <f>IFERROR(VLOOKUP(B1635,'Rekap Stock Barang'!$A$7:$G$153,2,0),"")</f>
        <v/>
      </c>
      <c r="D1635" s="17"/>
    </row>
    <row r="1636" spans="1:4" ht="16.5" x14ac:dyDescent="0.2">
      <c r="A1636" s="22"/>
      <c r="B1636" s="5"/>
      <c r="C1636" s="40" t="str">
        <f>IFERROR(VLOOKUP(B1636,'Rekap Stock Barang'!$A$7:$G$153,2,0),"")</f>
        <v/>
      </c>
      <c r="D1636" s="17"/>
    </row>
    <row r="1637" spans="1:4" ht="16.5" x14ac:dyDescent="0.2">
      <c r="A1637" s="22"/>
      <c r="B1637" s="5"/>
      <c r="C1637" s="40" t="str">
        <f>IFERROR(VLOOKUP(B1637,'Rekap Stock Barang'!$A$7:$G$153,2,0),"")</f>
        <v/>
      </c>
      <c r="D1637" s="17"/>
    </row>
    <row r="1638" spans="1:4" ht="16.5" x14ac:dyDescent="0.2">
      <c r="A1638" s="22"/>
      <c r="B1638" s="5"/>
      <c r="C1638" s="40" t="str">
        <f>IFERROR(VLOOKUP(B1638,'Rekap Stock Barang'!$A$7:$G$153,2,0),"")</f>
        <v/>
      </c>
      <c r="D1638" s="17"/>
    </row>
    <row r="1639" spans="1:4" ht="16.5" x14ac:dyDescent="0.2">
      <c r="A1639" s="22"/>
      <c r="B1639" s="5"/>
      <c r="C1639" s="40" t="str">
        <f>IFERROR(VLOOKUP(B1639,'Rekap Stock Barang'!$A$7:$G$153,2,0),"")</f>
        <v/>
      </c>
      <c r="D1639" s="17"/>
    </row>
    <row r="1640" spans="1:4" ht="16.5" x14ac:dyDescent="0.2">
      <c r="A1640" s="22"/>
      <c r="B1640" s="5"/>
      <c r="C1640" s="40" t="str">
        <f>IFERROR(VLOOKUP(B1640,'Rekap Stock Barang'!$A$7:$G$153,2,0),"")</f>
        <v/>
      </c>
      <c r="D1640" s="17"/>
    </row>
    <row r="1641" spans="1:4" ht="16.5" x14ac:dyDescent="0.2">
      <c r="A1641" s="22"/>
      <c r="B1641" s="5"/>
      <c r="C1641" s="40" t="str">
        <f>IFERROR(VLOOKUP(B1641,'Rekap Stock Barang'!$A$7:$G$153,2,0),"")</f>
        <v/>
      </c>
      <c r="D1641" s="17"/>
    </row>
    <row r="1642" spans="1:4" ht="16.5" x14ac:dyDescent="0.2">
      <c r="A1642" s="22"/>
      <c r="B1642" s="5"/>
      <c r="C1642" s="40" t="str">
        <f>IFERROR(VLOOKUP(B1642,'Rekap Stock Barang'!$A$7:$G$153,2,0),"")</f>
        <v/>
      </c>
      <c r="D1642" s="17"/>
    </row>
    <row r="1643" spans="1:4" ht="16.5" x14ac:dyDescent="0.2">
      <c r="A1643" s="22"/>
      <c r="B1643" s="5"/>
      <c r="C1643" s="40" t="str">
        <f>IFERROR(VLOOKUP(B1643,'Rekap Stock Barang'!$A$7:$G$153,2,0),"")</f>
        <v/>
      </c>
      <c r="D1643" s="17"/>
    </row>
    <row r="1644" spans="1:4" ht="16.5" x14ac:dyDescent="0.2">
      <c r="A1644" s="22"/>
      <c r="B1644" s="5"/>
      <c r="C1644" s="40" t="str">
        <f>IFERROR(VLOOKUP(B1644,'Rekap Stock Barang'!$A$7:$G$153,2,0),"")</f>
        <v/>
      </c>
      <c r="D1644" s="17"/>
    </row>
    <row r="1645" spans="1:4" ht="16.5" x14ac:dyDescent="0.2">
      <c r="A1645" s="22"/>
      <c r="B1645" s="5"/>
      <c r="C1645" s="40" t="str">
        <f>IFERROR(VLOOKUP(B1645,'Rekap Stock Barang'!$A$7:$G$153,2,0),"")</f>
        <v/>
      </c>
      <c r="D1645" s="17"/>
    </row>
    <row r="1646" spans="1:4" ht="16.5" x14ac:dyDescent="0.2">
      <c r="A1646" s="22"/>
      <c r="B1646" s="5"/>
      <c r="C1646" s="40" t="str">
        <f>IFERROR(VLOOKUP(B1646,'Rekap Stock Barang'!$A$7:$G$153,2,0),"")</f>
        <v/>
      </c>
      <c r="D1646" s="17"/>
    </row>
    <row r="1647" spans="1:4" ht="16.5" x14ac:dyDescent="0.2">
      <c r="A1647" s="22"/>
      <c r="B1647" s="5"/>
      <c r="C1647" s="40" t="str">
        <f>IFERROR(VLOOKUP(B1647,'Rekap Stock Barang'!$A$7:$G$153,2,0),"")</f>
        <v/>
      </c>
      <c r="D1647" s="17"/>
    </row>
    <row r="1648" spans="1:4" ht="16.5" x14ac:dyDescent="0.2">
      <c r="A1648" s="22"/>
      <c r="B1648" s="5"/>
      <c r="C1648" s="40" t="str">
        <f>IFERROR(VLOOKUP(B1648,'Rekap Stock Barang'!$A$7:$G$153,2,0),"")</f>
        <v/>
      </c>
      <c r="D1648" s="17"/>
    </row>
    <row r="1649" spans="1:4" ht="16.5" x14ac:dyDescent="0.2">
      <c r="A1649" s="22"/>
      <c r="B1649" s="5"/>
      <c r="C1649" s="40" t="str">
        <f>IFERROR(VLOOKUP(B1649,'Rekap Stock Barang'!$A$7:$G$153,2,0),"")</f>
        <v/>
      </c>
      <c r="D1649" s="17"/>
    </row>
    <row r="1650" spans="1:4" ht="16.5" x14ac:dyDescent="0.2">
      <c r="A1650" s="22"/>
      <c r="B1650" s="5"/>
      <c r="C1650" s="40" t="str">
        <f>IFERROR(VLOOKUP(B1650,'Rekap Stock Barang'!$A$7:$G$153,2,0),"")</f>
        <v/>
      </c>
      <c r="D1650" s="17"/>
    </row>
    <row r="1651" spans="1:4" ht="16.5" x14ac:dyDescent="0.2">
      <c r="A1651" s="22"/>
      <c r="B1651" s="5"/>
      <c r="C1651" s="40" t="str">
        <f>IFERROR(VLOOKUP(B1651,'Rekap Stock Barang'!$A$7:$G$153,2,0),"")</f>
        <v/>
      </c>
      <c r="D1651" s="17"/>
    </row>
    <row r="1652" spans="1:4" ht="16.5" x14ac:dyDescent="0.2">
      <c r="A1652" s="22"/>
      <c r="B1652" s="5"/>
      <c r="C1652" s="40" t="str">
        <f>IFERROR(VLOOKUP(B1652,'Rekap Stock Barang'!$A$7:$G$153,2,0),"")</f>
        <v/>
      </c>
      <c r="D1652" s="17"/>
    </row>
    <row r="1653" spans="1:4" ht="16.5" x14ac:dyDescent="0.2">
      <c r="A1653" s="22"/>
      <c r="B1653" s="5"/>
      <c r="C1653" s="40" t="str">
        <f>IFERROR(VLOOKUP(B1653,'Rekap Stock Barang'!$A$7:$G$153,2,0),"")</f>
        <v/>
      </c>
      <c r="D1653" s="17"/>
    </row>
    <row r="1654" spans="1:4" ht="16.5" x14ac:dyDescent="0.2">
      <c r="A1654" s="22"/>
      <c r="B1654" s="5"/>
      <c r="C1654" s="40" t="str">
        <f>IFERROR(VLOOKUP(B1654,'Rekap Stock Barang'!$A$7:$G$153,2,0),"")</f>
        <v/>
      </c>
      <c r="D1654" s="17"/>
    </row>
    <row r="1655" spans="1:4" ht="16.5" x14ac:dyDescent="0.2">
      <c r="A1655" s="22"/>
      <c r="B1655" s="5"/>
      <c r="C1655" s="40" t="str">
        <f>IFERROR(VLOOKUP(B1655,'Rekap Stock Barang'!$A$7:$G$153,2,0),"")</f>
        <v/>
      </c>
      <c r="D1655" s="17"/>
    </row>
    <row r="1656" spans="1:4" ht="16.5" x14ac:dyDescent="0.2">
      <c r="A1656" s="22"/>
      <c r="B1656" s="5"/>
      <c r="C1656" s="40" t="str">
        <f>IFERROR(VLOOKUP(B1656,'Rekap Stock Barang'!$A$7:$G$153,2,0),"")</f>
        <v/>
      </c>
      <c r="D1656" s="17"/>
    </row>
    <row r="1657" spans="1:4" ht="16.5" x14ac:dyDescent="0.2">
      <c r="A1657" s="22"/>
      <c r="B1657" s="5"/>
      <c r="C1657" s="40" t="str">
        <f>IFERROR(VLOOKUP(B1657,'Rekap Stock Barang'!$A$7:$G$153,2,0),"")</f>
        <v/>
      </c>
      <c r="D1657" s="17"/>
    </row>
    <row r="1658" spans="1:4" ht="16.5" x14ac:dyDescent="0.2">
      <c r="A1658" s="22"/>
      <c r="B1658" s="5"/>
      <c r="C1658" s="40" t="str">
        <f>IFERROR(VLOOKUP(B1658,'Rekap Stock Barang'!$A$7:$G$153,2,0),"")</f>
        <v/>
      </c>
      <c r="D1658" s="17"/>
    </row>
    <row r="1659" spans="1:4" ht="16.5" x14ac:dyDescent="0.2">
      <c r="A1659" s="22"/>
      <c r="B1659" s="5"/>
      <c r="C1659" s="40" t="str">
        <f>IFERROR(VLOOKUP(B1659,'Rekap Stock Barang'!$A$7:$G$153,2,0),"")</f>
        <v/>
      </c>
      <c r="D1659" s="17"/>
    </row>
    <row r="1660" spans="1:4" ht="16.5" x14ac:dyDescent="0.2">
      <c r="A1660" s="22"/>
      <c r="B1660" s="5"/>
      <c r="C1660" s="40" t="str">
        <f>IFERROR(VLOOKUP(B1660,'Rekap Stock Barang'!$A$7:$G$153,2,0),"")</f>
        <v/>
      </c>
      <c r="D1660" s="17"/>
    </row>
    <row r="1661" spans="1:4" ht="16.5" x14ac:dyDescent="0.2">
      <c r="A1661" s="22"/>
      <c r="B1661" s="5"/>
      <c r="C1661" s="40" t="str">
        <f>IFERROR(VLOOKUP(B1661,'Rekap Stock Barang'!$A$7:$G$153,2,0),"")</f>
        <v/>
      </c>
      <c r="D1661" s="17"/>
    </row>
    <row r="1662" spans="1:4" ht="16.5" x14ac:dyDescent="0.2">
      <c r="A1662" s="22"/>
      <c r="B1662" s="5"/>
      <c r="C1662" s="40" t="str">
        <f>IFERROR(VLOOKUP(B1662,'Rekap Stock Barang'!$A$7:$G$153,2,0),"")</f>
        <v/>
      </c>
      <c r="D1662" s="17"/>
    </row>
    <row r="1663" spans="1:4" ht="16.5" x14ac:dyDescent="0.2">
      <c r="A1663" s="22"/>
      <c r="B1663" s="5"/>
      <c r="C1663" s="40" t="str">
        <f>IFERROR(VLOOKUP(B1663,'Rekap Stock Barang'!$A$7:$G$153,2,0),"")</f>
        <v/>
      </c>
      <c r="D1663" s="17"/>
    </row>
    <row r="1664" spans="1:4" ht="16.5" x14ac:dyDescent="0.2">
      <c r="A1664" s="22"/>
      <c r="B1664" s="5"/>
      <c r="C1664" s="40" t="str">
        <f>IFERROR(VLOOKUP(B1664,'Rekap Stock Barang'!$A$7:$G$153,2,0),"")</f>
        <v/>
      </c>
      <c r="D1664" s="17"/>
    </row>
    <row r="1665" spans="1:4" ht="16.5" x14ac:dyDescent="0.2">
      <c r="A1665" s="22"/>
      <c r="B1665" s="5"/>
      <c r="C1665" s="40" t="str">
        <f>IFERROR(VLOOKUP(B1665,'Rekap Stock Barang'!$A$7:$G$153,2,0),"")</f>
        <v/>
      </c>
      <c r="D1665" s="17"/>
    </row>
    <row r="1666" spans="1:4" ht="16.5" x14ac:dyDescent="0.2">
      <c r="A1666" s="22"/>
      <c r="B1666" s="5"/>
      <c r="C1666" s="40" t="str">
        <f>IFERROR(VLOOKUP(B1666,'Rekap Stock Barang'!$A$7:$G$153,2,0),"")</f>
        <v/>
      </c>
      <c r="D1666" s="17"/>
    </row>
    <row r="1667" spans="1:4" ht="16.5" x14ac:dyDescent="0.2">
      <c r="A1667" s="22"/>
      <c r="B1667" s="5"/>
      <c r="C1667" s="40" t="str">
        <f>IFERROR(VLOOKUP(B1667,'Rekap Stock Barang'!$A$7:$G$153,2,0),"")</f>
        <v/>
      </c>
      <c r="D1667" s="17"/>
    </row>
    <row r="1668" spans="1:4" ht="16.5" x14ac:dyDescent="0.2">
      <c r="A1668" s="22"/>
      <c r="B1668" s="5"/>
      <c r="C1668" s="40" t="str">
        <f>IFERROR(VLOOKUP(B1668,'Rekap Stock Barang'!$A$7:$G$153,2,0),"")</f>
        <v/>
      </c>
      <c r="D1668" s="17"/>
    </row>
    <row r="1669" spans="1:4" ht="16.5" x14ac:dyDescent="0.2">
      <c r="A1669" s="22"/>
      <c r="B1669" s="5"/>
      <c r="C1669" s="40" t="str">
        <f>IFERROR(VLOOKUP(B1669,'Rekap Stock Barang'!$A$7:$G$153,2,0),"")</f>
        <v/>
      </c>
      <c r="D1669" s="17"/>
    </row>
    <row r="1670" spans="1:4" ht="16.5" x14ac:dyDescent="0.2">
      <c r="A1670" s="22"/>
      <c r="B1670" s="5"/>
      <c r="C1670" s="40" t="str">
        <f>IFERROR(VLOOKUP(B1670,'Rekap Stock Barang'!$A$7:$G$153,2,0),"")</f>
        <v/>
      </c>
      <c r="D1670" s="17"/>
    </row>
    <row r="1671" spans="1:4" ht="16.5" x14ac:dyDescent="0.2">
      <c r="A1671" s="22"/>
      <c r="B1671" s="5"/>
      <c r="C1671" s="40" t="str">
        <f>IFERROR(VLOOKUP(B1671,'Rekap Stock Barang'!$A$7:$G$153,2,0),"")</f>
        <v/>
      </c>
      <c r="D1671" s="17"/>
    </row>
    <row r="1672" spans="1:4" ht="16.5" x14ac:dyDescent="0.2">
      <c r="A1672" s="22"/>
      <c r="B1672" s="5"/>
      <c r="C1672" s="40" t="str">
        <f>IFERROR(VLOOKUP(B1672,'Rekap Stock Barang'!$A$7:$G$153,2,0),"")</f>
        <v/>
      </c>
      <c r="D1672" s="17"/>
    </row>
    <row r="1673" spans="1:4" ht="16.5" x14ac:dyDescent="0.2">
      <c r="A1673" s="22"/>
      <c r="B1673" s="5"/>
      <c r="C1673" s="40" t="str">
        <f>IFERROR(VLOOKUP(B1673,'Rekap Stock Barang'!$A$7:$G$153,2,0),"")</f>
        <v/>
      </c>
      <c r="D1673" s="17"/>
    </row>
    <row r="1674" spans="1:4" ht="16.5" x14ac:dyDescent="0.2">
      <c r="A1674" s="22"/>
      <c r="B1674" s="5"/>
      <c r="C1674" s="40" t="str">
        <f>IFERROR(VLOOKUP(B1674,'Rekap Stock Barang'!$A$7:$G$153,2,0),"")</f>
        <v/>
      </c>
      <c r="D1674" s="17"/>
    </row>
    <row r="1675" spans="1:4" ht="16.5" x14ac:dyDescent="0.2">
      <c r="A1675" s="22"/>
      <c r="B1675" s="5"/>
      <c r="C1675" s="40" t="str">
        <f>IFERROR(VLOOKUP(B1675,'Rekap Stock Barang'!$A$7:$G$153,2,0),"")</f>
        <v/>
      </c>
      <c r="D1675" s="17"/>
    </row>
    <row r="1676" spans="1:4" ht="16.5" x14ac:dyDescent="0.2">
      <c r="A1676" s="22"/>
      <c r="B1676" s="5"/>
      <c r="C1676" s="40" t="str">
        <f>IFERROR(VLOOKUP(B1676,'Rekap Stock Barang'!$A$7:$G$153,2,0),"")</f>
        <v/>
      </c>
      <c r="D1676" s="17"/>
    </row>
    <row r="1677" spans="1:4" ht="16.5" x14ac:dyDescent="0.2">
      <c r="A1677" s="22"/>
      <c r="B1677" s="5"/>
      <c r="C1677" s="40" t="str">
        <f>IFERROR(VLOOKUP(B1677,'Rekap Stock Barang'!$A$7:$G$153,2,0),"")</f>
        <v/>
      </c>
      <c r="D1677" s="17"/>
    </row>
    <row r="1678" spans="1:4" ht="16.5" x14ac:dyDescent="0.2">
      <c r="A1678" s="22"/>
      <c r="B1678" s="5"/>
      <c r="C1678" s="40" t="str">
        <f>IFERROR(VLOOKUP(B1678,'Rekap Stock Barang'!$A$7:$G$153,2,0),"")</f>
        <v/>
      </c>
      <c r="D1678" s="17"/>
    </row>
    <row r="1679" spans="1:4" ht="16.5" x14ac:dyDescent="0.2">
      <c r="A1679" s="22"/>
      <c r="B1679" s="5"/>
      <c r="C1679" s="40" t="str">
        <f>IFERROR(VLOOKUP(B1679,'Rekap Stock Barang'!$A$7:$G$153,2,0),"")</f>
        <v/>
      </c>
      <c r="D1679" s="17"/>
    </row>
    <row r="1680" spans="1:4" ht="16.5" x14ac:dyDescent="0.2">
      <c r="A1680" s="22"/>
      <c r="B1680" s="5"/>
      <c r="C1680" s="40" t="str">
        <f>IFERROR(VLOOKUP(B1680,'Rekap Stock Barang'!$A$7:$G$153,2,0),"")</f>
        <v/>
      </c>
      <c r="D1680" s="17"/>
    </row>
    <row r="1681" spans="1:4" ht="16.5" x14ac:dyDescent="0.2">
      <c r="A1681" s="22"/>
      <c r="B1681" s="5"/>
      <c r="C1681" s="40" t="str">
        <f>IFERROR(VLOOKUP(B1681,'Rekap Stock Barang'!$A$7:$G$153,2,0),"")</f>
        <v/>
      </c>
      <c r="D1681" s="17"/>
    </row>
    <row r="1682" spans="1:4" ht="16.5" x14ac:dyDescent="0.2">
      <c r="A1682" s="22"/>
      <c r="B1682" s="5"/>
      <c r="C1682" s="40" t="str">
        <f>IFERROR(VLOOKUP(B1682,'Rekap Stock Barang'!$A$7:$G$153,2,0),"")</f>
        <v/>
      </c>
      <c r="D1682" s="17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Stock Barang</vt:lpstr>
      <vt:lpstr>Barang Masuk </vt:lpstr>
      <vt:lpstr>Barang keluar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Caroline</dc:creator>
  <dcterms:created xsi:type="dcterms:W3CDTF">2026-04-30T19:32:16Z</dcterms:created>
</cp:coreProperties>
</file>